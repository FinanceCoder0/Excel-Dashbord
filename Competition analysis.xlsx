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4.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FAR\Desktop\"/>
    </mc:Choice>
  </mc:AlternateContent>
  <bookViews>
    <workbookView xWindow="0" yWindow="0" windowWidth="23040" windowHeight="9192" firstSheet="5" activeTab="12"/>
  </bookViews>
  <sheets>
    <sheet name="Round 1" sheetId="2" state="hidden" r:id="rId1"/>
    <sheet name="R1" sheetId="16" state="hidden" r:id="rId2"/>
    <sheet name="R2" sheetId="18" state="hidden" r:id="rId3"/>
    <sheet name="R3" sheetId="21" state="hidden" r:id="rId4"/>
    <sheet name="Round1_Insights" sheetId="19" state="hidden" r:id="rId5"/>
    <sheet name="Round1_Dashboard" sheetId="17" r:id="rId6"/>
    <sheet name="Combine" sheetId="22" state="hidden" r:id="rId7"/>
    <sheet name="Final Round" sheetId="1" state="hidden" r:id="rId8"/>
    <sheet name="f1" sheetId="3" state="hidden" r:id="rId9"/>
    <sheet name="f2" sheetId="9" state="hidden" r:id="rId10"/>
    <sheet name="f3" sheetId="15" state="hidden" r:id="rId11"/>
    <sheet name="Final_Insights" sheetId="8" state="hidden" r:id="rId12"/>
    <sheet name="Final_Dashboard" sheetId="4" r:id="rId13"/>
  </sheets>
  <definedNames>
    <definedName name="Slicer_S._No">#N/A</definedName>
    <definedName name="Slicer_S._No1">#N/A</definedName>
    <definedName name="Slicer_Teams_Title">#N/A</definedName>
    <definedName name="Slicer_Teams_Title1">#N/A</definedName>
  </definedNames>
  <calcPr calcId="162913"/>
  <pivotCaches>
    <pivotCache cacheId="2" r:id="rId14"/>
    <pivotCache cacheId="3" r:id="rId15"/>
    <pivotCache cacheId="4" r:id="rId16"/>
    <pivotCache cacheId="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5" i="17" l="1"/>
  <c r="G10" i="19"/>
  <c r="G9" i="19"/>
  <c r="G8" i="19"/>
  <c r="G7" i="19"/>
  <c r="G6" i="19"/>
  <c r="F6" i="8"/>
  <c r="M20" i="4" l="1"/>
  <c r="D11" i="8"/>
  <c r="E10" i="8"/>
  <c r="D10" i="8"/>
  <c r="F9" i="8"/>
  <c r="E9" i="8"/>
  <c r="D9" i="8"/>
  <c r="C9" i="8"/>
  <c r="F8" i="8"/>
  <c r="E8" i="8"/>
  <c r="D8" i="8"/>
  <c r="C8" i="8"/>
  <c r="F7" i="8"/>
  <c r="E7" i="8"/>
  <c r="D7" i="8"/>
  <c r="C7" i="8"/>
  <c r="E6" i="8"/>
  <c r="D6" i="8"/>
  <c r="C6" i="8"/>
  <c r="F10" i="19"/>
  <c r="E10" i="19"/>
  <c r="D10" i="19"/>
  <c r="F9" i="19"/>
  <c r="E9" i="19"/>
  <c r="D9" i="19"/>
  <c r="F8" i="19"/>
  <c r="E8" i="19"/>
  <c r="D8" i="19"/>
  <c r="F7" i="19"/>
  <c r="E7" i="19"/>
  <c r="D7" i="19"/>
  <c r="F6" i="19"/>
  <c r="E6" i="19"/>
  <c r="D6" i="19"/>
</calcChain>
</file>

<file path=xl/sharedStrings.xml><?xml version="1.0" encoding="utf-8"?>
<sst xmlns="http://schemas.openxmlformats.org/spreadsheetml/2006/main" count="511" uniqueCount="112">
  <si>
    <t>Rank</t>
  </si>
  <si>
    <t>Team</t>
  </si>
  <si>
    <t>Teams Title</t>
  </si>
  <si>
    <t>Score</t>
  </si>
  <si>
    <t>Penalty</t>
  </si>
  <si>
    <t>WahajRaza(Team DJANGO)</t>
  </si>
  <si>
    <t>Team Django</t>
  </si>
  <si>
    <t>-</t>
  </si>
  <si>
    <t>M_Hu7ain(MH)</t>
  </si>
  <si>
    <t>M_Hu7Ain</t>
  </si>
  <si>
    <t>Asad_Jafri(The Invincibles)</t>
  </si>
  <si>
    <t>The Invincibles</t>
  </si>
  <si>
    <t>Zarghamkazmi(Coder)</t>
  </si>
  <si>
    <t>Coder</t>
  </si>
  <si>
    <t>Jinnah_Coders</t>
  </si>
  <si>
    <t>Jinnah Coders</t>
  </si>
  <si>
    <t>Bruce_Wayne911(The Vengeance)</t>
  </si>
  <si>
    <t>The Vengeance</t>
  </si>
  <si>
    <t>faiq_hussain(Coders++)</t>
  </si>
  <si>
    <t>Coders++</t>
  </si>
  <si>
    <t>Centers_United</t>
  </si>
  <si>
    <t>Centers United</t>
  </si>
  <si>
    <t>Sraza_29(Fast Walay)</t>
  </si>
  <si>
    <t>Fast Walay</t>
  </si>
  <si>
    <t>Hassan17(Logic_Lords)</t>
  </si>
  <si>
    <t>Logic Lords</t>
  </si>
  <si>
    <t>M_Fakher_Mehdi(Syeds)</t>
  </si>
  <si>
    <t>Mehdi Syeds</t>
  </si>
  <si>
    <t>Muhammad_Taha(Binary Brain)</t>
  </si>
  <si>
    <t>Binary Brain</t>
  </si>
  <si>
    <t>meesam_rizvi(noobs)</t>
  </si>
  <si>
    <t>Noobs</t>
  </si>
  <si>
    <t>AhsanZaidi10(Bug Busters)</t>
  </si>
  <si>
    <t>Bug Busters</t>
  </si>
  <si>
    <t>Forte__(Forte)</t>
  </si>
  <si>
    <t>Forte</t>
  </si>
  <si>
    <t>Ali_Zafar(Programming geeks)</t>
  </si>
  <si>
    <t>Programming Geeks</t>
  </si>
  <si>
    <t>NotProCoders(!ProCoders)</t>
  </si>
  <si>
    <t>!Procoders</t>
  </si>
  <si>
    <t>Aman_Ali(404 not found)</t>
  </si>
  <si>
    <t>404 Not Found</t>
  </si>
  <si>
    <t>Murtaza_Rizvi(GateSmashers)</t>
  </si>
  <si>
    <t>Gatesmashers</t>
  </si>
  <si>
    <t>Ghazi_Sibtain(لماؤ ایکس ڈی)</t>
  </si>
  <si>
    <t>LMAOXD</t>
  </si>
  <si>
    <t>Codeology(Coders)</t>
  </si>
  <si>
    <t>Coders</t>
  </si>
  <si>
    <t>Jinnah_Coder</t>
  </si>
  <si>
    <t>Centers_Unite</t>
  </si>
  <si>
    <t>Logic_Lords</t>
  </si>
  <si>
    <t>Syeds</t>
  </si>
  <si>
    <t>Mh</t>
  </si>
  <si>
    <t>codecrafters110(huzaifa)</t>
  </si>
  <si>
    <t>Huzaifa</t>
  </si>
  <si>
    <t>Row Labels</t>
  </si>
  <si>
    <t>Grand Total</t>
  </si>
  <si>
    <t>Question 1</t>
  </si>
  <si>
    <t>Question 2</t>
  </si>
  <si>
    <t>Question 3</t>
  </si>
  <si>
    <t>Question 4</t>
  </si>
  <si>
    <t>Question 5</t>
  </si>
  <si>
    <t>Question 6</t>
  </si>
  <si>
    <t>Avg Time of solution</t>
  </si>
  <si>
    <t>Minimum Time</t>
  </si>
  <si>
    <t>Maximum Time</t>
  </si>
  <si>
    <t>First solved by</t>
  </si>
  <si>
    <t>No one can solve</t>
  </si>
  <si>
    <t>S. No</t>
  </si>
  <si>
    <t>Question A</t>
  </si>
  <si>
    <t>No. of attempted A</t>
  </si>
  <si>
    <t>Question B</t>
  </si>
  <si>
    <t>No. of attempted B</t>
  </si>
  <si>
    <t>Question C</t>
  </si>
  <si>
    <t>No. of attempted C</t>
  </si>
  <si>
    <t>Question D</t>
  </si>
  <si>
    <t>No. of attempted D</t>
  </si>
  <si>
    <t>Question E</t>
  </si>
  <si>
    <t>No. of attempted E</t>
  </si>
  <si>
    <t>Question F</t>
  </si>
  <si>
    <t>No. of attempted F</t>
  </si>
  <si>
    <t>Total No. of q Attemped</t>
  </si>
  <si>
    <t>Total Score</t>
  </si>
  <si>
    <t>Question Attemped</t>
  </si>
  <si>
    <t>Sum of Avg Time of solution</t>
  </si>
  <si>
    <t>Sum of Minimum Time</t>
  </si>
  <si>
    <t>Sum of Maximum Time</t>
  </si>
  <si>
    <t xml:space="preserve"> Penalty</t>
  </si>
  <si>
    <t xml:space="preserve">No. of A attempted </t>
  </si>
  <si>
    <t>No. of B attempted</t>
  </si>
  <si>
    <t>No. of C attempted</t>
  </si>
  <si>
    <t>No. of D attempted</t>
  </si>
  <si>
    <t>No. of E attempted</t>
  </si>
  <si>
    <t>No. of F attempted</t>
  </si>
  <si>
    <t>First solved by:</t>
  </si>
  <si>
    <t>Sum of No. of attempted A</t>
  </si>
  <si>
    <t>Sum of No. of attempted B</t>
  </si>
  <si>
    <t>Sum of No. of attempted C</t>
  </si>
  <si>
    <t>Sum of No. of attempted D</t>
  </si>
  <si>
    <t>Sum of No. of attempted E</t>
  </si>
  <si>
    <t>Sum of No. of attempted F</t>
  </si>
  <si>
    <t>First Solved By:</t>
  </si>
  <si>
    <t>No one Can Solve This</t>
  </si>
  <si>
    <t>Sum of Penalty</t>
  </si>
  <si>
    <t>Question:</t>
  </si>
  <si>
    <t>First Siove by:</t>
  </si>
  <si>
    <t>Avg Time</t>
  </si>
  <si>
    <t>Minimum Time of sol.</t>
  </si>
  <si>
    <t>Maximum Time of sol.</t>
  </si>
  <si>
    <t>R1_Score</t>
  </si>
  <si>
    <t>Round1_Score</t>
  </si>
  <si>
    <t>Round2_Score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</si>
</sst>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right/>
      <top style="thin">
        <color theme="4" tint="0.39997558519241921"/>
      </top>
      <bottom style="thin">
        <color theme="4" tint="0.3999755851924192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30">
    <xf numFmtId="0" fontId="0" fillId="0" borderId="0" xfId="0"/>
    <xf numFmtId="0" fontId="0" fillId="0" borderId="0" xfId="0" applyNumberFormat="1"/>
    <xf numFmtId="0" fontId="1" fillId="0" borderId="0" xfId="0" applyFont="1"/>
    <xf numFmtId="21" fontId="0" fillId="0" borderId="0" xfId="0" applyNumberFormat="1"/>
    <xf numFmtId="2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pivotButton="1"/>
    <xf numFmtId="0" fontId="0" fillId="2" borderId="0" xfId="0" applyFill="1"/>
    <xf numFmtId="164" fontId="0" fillId="0" borderId="0" xfId="0" applyNumberFormat="1"/>
    <xf numFmtId="164" fontId="0" fillId="0" borderId="1" xfId="0" applyNumberFormat="1" applyFont="1" applyBorder="1"/>
    <xf numFmtId="46" fontId="0" fillId="0" borderId="0" xfId="0" applyNumberFormat="1"/>
    <xf numFmtId="46" fontId="0" fillId="0" borderId="0" xfId="0" applyNumberFormat="1" applyAlignment="1"/>
    <xf numFmtId="49" fontId="0" fillId="0" borderId="0" xfId="0" applyNumberFormat="1"/>
    <xf numFmtId="0" fontId="1" fillId="2" borderId="3" xfId="0" applyFont="1" applyFill="1" applyBorder="1"/>
    <xf numFmtId="0" fontId="1" fillId="0" borderId="2" xfId="0" applyFont="1" applyBorder="1"/>
    <xf numFmtId="0" fontId="0" fillId="0" borderId="0" xfId="0" applyAlignment="1"/>
    <xf numFmtId="0" fontId="0" fillId="0" borderId="0" xfId="0" applyNumberFormat="1" applyAlignment="1"/>
    <xf numFmtId="21" fontId="0" fillId="0" borderId="0" xfId="0" applyNumberFormat="1" applyAlignment="1"/>
    <xf numFmtId="1" fontId="0" fillId="0" borderId="0" xfId="0" applyNumberFormat="1" applyAlignment="1">
      <alignment horizontal="center"/>
    </xf>
    <xf numFmtId="164" fontId="0" fillId="0" borderId="0" xfId="0" applyNumberFormat="1" applyAlignment="1"/>
    <xf numFmtId="164" fontId="0" fillId="0" borderId="0" xfId="0" applyNumberFormat="1" applyAlignment="1">
      <alignment horizontal="center"/>
    </xf>
    <xf numFmtId="164" fontId="0" fillId="0" borderId="0" xfId="0" quotePrefix="1" applyNumberFormat="1" applyAlignment="1">
      <alignment horizontal="center"/>
    </xf>
    <xf numFmtId="164" fontId="0" fillId="0" borderId="0" xfId="0" quotePrefix="1" applyNumberFormat="1" applyAlignment="1"/>
    <xf numFmtId="45" fontId="0" fillId="0" borderId="0" xfId="0" applyNumberFormat="1"/>
    <xf numFmtId="0" fontId="1" fillId="2" borderId="6" xfId="0" applyFont="1" applyFill="1" applyBorder="1"/>
    <xf numFmtId="0" fontId="1" fillId="2" borderId="7" xfId="0" applyFont="1" applyFill="1" applyBorder="1" applyAlignment="1">
      <alignment horizontal="center"/>
    </xf>
    <xf numFmtId="0" fontId="1" fillId="2" borderId="2" xfId="0" applyFont="1" applyFill="1" applyBorder="1"/>
    <xf numFmtId="0" fontId="1" fillId="2" borderId="4" xfId="0" applyFont="1" applyFill="1" applyBorder="1" applyAlignment="1">
      <alignment horizontal="center"/>
    </xf>
    <xf numFmtId="0" fontId="1" fillId="2" borderId="5" xfId="0" applyFont="1" applyFill="1" applyBorder="1" applyAlignment="1">
      <alignment horizontal="center"/>
    </xf>
  </cellXfs>
  <cellStyles count="1">
    <cellStyle name="Normal" xfId="0" builtinId="0"/>
  </cellStyles>
  <dxfs count="44">
    <dxf>
      <numFmt numFmtId="164" formatCode="[mm]:ss"/>
    </dxf>
    <dxf>
      <numFmt numFmtId="164" formatCode="[mm]:ss"/>
    </dxf>
    <dxf>
      <numFmt numFmtId="164" formatCode="[mm]:ss"/>
    </dxf>
    <dxf>
      <numFmt numFmtId="164" formatCode="[mm]:ss"/>
    </dxf>
    <dxf>
      <numFmt numFmtId="164" formatCode="[mm]:ss"/>
    </dxf>
    <dxf>
      <numFmt numFmtId="164" formatCode="[mm]:ss"/>
    </dxf>
    <dxf>
      <numFmt numFmtId="164" formatCode="[mm]:ss"/>
    </dxf>
    <dxf>
      <numFmt numFmtId="164" formatCode="[mm]:ss"/>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i val="0"/>
        <strike val="0"/>
        <condense val="0"/>
        <extend val="0"/>
        <outline val="0"/>
        <shadow val="0"/>
        <u val="none"/>
        <vertAlign val="baseline"/>
        <sz val="11"/>
        <color theme="1"/>
        <name val="Calibri"/>
        <scheme val="minor"/>
      </font>
    </dxf>
    <dxf>
      <numFmt numFmtId="164" formatCode="[mm]:ss"/>
    </dxf>
    <dxf>
      <numFmt numFmtId="164" formatCode="[mm]:ss"/>
    </dxf>
    <dxf>
      <numFmt numFmtId="164" formatCode="[mm]:ss"/>
    </dxf>
    <dxf>
      <numFmt numFmtId="164" formatCode="[mm]:ss"/>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m]:ss"/>
      <alignment horizontal="general"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m]:ss"/>
      <alignment horizontal="general"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m]:ss"/>
      <alignment horizontal="general"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m]:ss"/>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m]:ss"/>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6" formatCode="h:mm:ss"/>
    </dxf>
    <dxf>
      <numFmt numFmtId="0" formatCode="General"/>
    </dxf>
    <dxf>
      <numFmt numFmtId="0" formatCode="General"/>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analysis.xlsx]R1!PivotTable1</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s>
    <c:plotArea>
      <c:layout/>
      <c:barChart>
        <c:barDir val="col"/>
        <c:grouping val="clustered"/>
        <c:varyColors val="0"/>
        <c:ser>
          <c:idx val="0"/>
          <c:order val="0"/>
          <c:tx>
            <c:strRef>
              <c:f>'R1'!$B$3</c:f>
              <c:strCache>
                <c:ptCount val="1"/>
                <c:pt idx="0">
                  <c:v>Total Score</c:v>
                </c:pt>
              </c:strCache>
            </c:strRef>
          </c:tx>
          <c:spPr>
            <a:solidFill>
              <a:schemeClr val="accent1"/>
            </a:solidFill>
            <a:ln>
              <a:noFill/>
            </a:ln>
            <a:effectLst/>
          </c:spPr>
          <c:invertIfNegative val="0"/>
          <c:cat>
            <c:strRef>
              <c:f>'R1'!$A$4:$A$5</c:f>
              <c:strCache>
                <c:ptCount val="1"/>
                <c:pt idx="0">
                  <c:v>Logic_Lords</c:v>
                </c:pt>
              </c:strCache>
            </c:strRef>
          </c:cat>
          <c:val>
            <c:numRef>
              <c:f>'R1'!$B$4:$B$5</c:f>
              <c:numCache>
                <c:formatCode>General</c:formatCode>
                <c:ptCount val="1"/>
                <c:pt idx="0">
                  <c:v>0</c:v>
                </c:pt>
              </c:numCache>
            </c:numRef>
          </c:val>
          <c:extLst>
            <c:ext xmlns:c16="http://schemas.microsoft.com/office/drawing/2014/chart" uri="{C3380CC4-5D6E-409C-BE32-E72D297353CC}">
              <c16:uniqueId val="{00000008-10D6-462C-BB00-3E4A29C98D0F}"/>
            </c:ext>
          </c:extLst>
        </c:ser>
        <c:ser>
          <c:idx val="1"/>
          <c:order val="1"/>
          <c:tx>
            <c:strRef>
              <c:f>'R1'!$C$3</c:f>
              <c:strCache>
                <c:ptCount val="1"/>
                <c:pt idx="0">
                  <c:v>Question Attemped</c:v>
                </c:pt>
              </c:strCache>
            </c:strRef>
          </c:tx>
          <c:spPr>
            <a:solidFill>
              <a:schemeClr val="accent2"/>
            </a:solidFill>
            <a:ln>
              <a:noFill/>
            </a:ln>
            <a:effectLst/>
          </c:spPr>
          <c:invertIfNegative val="0"/>
          <c:cat>
            <c:strRef>
              <c:f>'R1'!$A$4:$A$5</c:f>
              <c:strCache>
                <c:ptCount val="1"/>
                <c:pt idx="0">
                  <c:v>Logic_Lords</c:v>
                </c:pt>
              </c:strCache>
            </c:strRef>
          </c:cat>
          <c:val>
            <c:numRef>
              <c:f>'R1'!$C$4:$C$5</c:f>
              <c:numCache>
                <c:formatCode>General</c:formatCode>
                <c:ptCount val="1"/>
                <c:pt idx="0">
                  <c:v>2</c:v>
                </c:pt>
              </c:numCache>
            </c:numRef>
          </c:val>
          <c:extLst>
            <c:ext xmlns:c16="http://schemas.microsoft.com/office/drawing/2014/chart" uri="{C3380CC4-5D6E-409C-BE32-E72D297353CC}">
              <c16:uniqueId val="{0000000A-10D6-462C-BB00-3E4A29C98D0F}"/>
            </c:ext>
          </c:extLst>
        </c:ser>
        <c:dLbls>
          <c:showLegendKey val="0"/>
          <c:showVal val="0"/>
          <c:showCatName val="0"/>
          <c:showSerName val="0"/>
          <c:showPercent val="0"/>
          <c:showBubbleSize val="0"/>
        </c:dLbls>
        <c:gapWidth val="219"/>
        <c:overlap val="-27"/>
        <c:axId val="1503252719"/>
        <c:axId val="1503262703"/>
      </c:barChart>
      <c:catAx>
        <c:axId val="15032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62703"/>
        <c:crosses val="autoZero"/>
        <c:auto val="1"/>
        <c:lblAlgn val="ctr"/>
        <c:lblOffset val="500"/>
        <c:noMultiLvlLbl val="0"/>
      </c:catAx>
      <c:valAx>
        <c:axId val="15032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52719"/>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'R2'!$B$3</c:f>
              <c:strCache>
                <c:ptCount val="1"/>
                <c:pt idx="0">
                  <c:v>Sum of No. of attempted A</c:v>
                </c:pt>
              </c:strCache>
            </c:strRef>
          </c:tx>
          <c:spPr>
            <a:solidFill>
              <a:schemeClr val="accent1"/>
            </a:solidFill>
            <a:ln>
              <a:noFill/>
            </a:ln>
            <a:effectLst/>
          </c:spPr>
          <c:invertIfNegative val="0"/>
          <c:cat>
            <c:strRef>
              <c:f>'R2'!$A$4:$A$5</c:f>
              <c:strCache>
                <c:ptCount val="1"/>
                <c:pt idx="0">
                  <c:v>Logic_Lords</c:v>
                </c:pt>
              </c:strCache>
            </c:strRef>
          </c:cat>
          <c:val>
            <c:numRef>
              <c:f>'R2'!$B$4:$B$5</c:f>
              <c:numCache>
                <c:formatCode>General</c:formatCode>
                <c:ptCount val="1"/>
                <c:pt idx="0">
                  <c:v>-1</c:v>
                </c:pt>
              </c:numCache>
            </c:numRef>
          </c:val>
          <c:extLst>
            <c:ext xmlns:c16="http://schemas.microsoft.com/office/drawing/2014/chart" uri="{C3380CC4-5D6E-409C-BE32-E72D297353CC}">
              <c16:uniqueId val="{00000000-697F-434F-964C-1DBE1278E90A}"/>
            </c:ext>
          </c:extLst>
        </c:ser>
        <c:ser>
          <c:idx val="1"/>
          <c:order val="1"/>
          <c:tx>
            <c:strRef>
              <c:f>'R2'!$C$3</c:f>
              <c:strCache>
                <c:ptCount val="1"/>
                <c:pt idx="0">
                  <c:v>Sum of No. of attempted B</c:v>
                </c:pt>
              </c:strCache>
            </c:strRef>
          </c:tx>
          <c:spPr>
            <a:solidFill>
              <a:schemeClr val="accent2"/>
            </a:solidFill>
            <a:ln>
              <a:noFill/>
            </a:ln>
            <a:effectLst/>
          </c:spPr>
          <c:invertIfNegative val="0"/>
          <c:cat>
            <c:strRef>
              <c:f>'R2'!$A$4:$A$5</c:f>
              <c:strCache>
                <c:ptCount val="1"/>
                <c:pt idx="0">
                  <c:v>Logic_Lords</c:v>
                </c:pt>
              </c:strCache>
            </c:strRef>
          </c:cat>
          <c:val>
            <c:numRef>
              <c:f>'R2'!$C$4:$C$5</c:f>
              <c:numCache>
                <c:formatCode>General</c:formatCode>
                <c:ptCount val="1"/>
                <c:pt idx="0">
                  <c:v>0</c:v>
                </c:pt>
              </c:numCache>
            </c:numRef>
          </c:val>
          <c:extLst>
            <c:ext xmlns:c16="http://schemas.microsoft.com/office/drawing/2014/chart" uri="{C3380CC4-5D6E-409C-BE32-E72D297353CC}">
              <c16:uniqueId val="{00000001-697F-434F-964C-1DBE1278E90A}"/>
            </c:ext>
          </c:extLst>
        </c:ser>
        <c:ser>
          <c:idx val="2"/>
          <c:order val="2"/>
          <c:tx>
            <c:strRef>
              <c:f>'R2'!$D$3</c:f>
              <c:strCache>
                <c:ptCount val="1"/>
                <c:pt idx="0">
                  <c:v>Sum of No. of attempted C</c:v>
                </c:pt>
              </c:strCache>
            </c:strRef>
          </c:tx>
          <c:spPr>
            <a:solidFill>
              <a:schemeClr val="accent3"/>
            </a:solidFill>
            <a:ln>
              <a:noFill/>
            </a:ln>
            <a:effectLst/>
          </c:spPr>
          <c:invertIfNegative val="0"/>
          <c:cat>
            <c:strRef>
              <c:f>'R2'!$A$4:$A$5</c:f>
              <c:strCache>
                <c:ptCount val="1"/>
                <c:pt idx="0">
                  <c:v>Logic_Lords</c:v>
                </c:pt>
              </c:strCache>
            </c:strRef>
          </c:cat>
          <c:val>
            <c:numRef>
              <c:f>'R2'!$D$4:$D$5</c:f>
              <c:numCache>
                <c:formatCode>General</c:formatCode>
                <c:ptCount val="1"/>
                <c:pt idx="0">
                  <c:v>-1</c:v>
                </c:pt>
              </c:numCache>
            </c:numRef>
          </c:val>
          <c:extLst>
            <c:ext xmlns:c16="http://schemas.microsoft.com/office/drawing/2014/chart" uri="{C3380CC4-5D6E-409C-BE32-E72D297353CC}">
              <c16:uniqueId val="{00000002-697F-434F-964C-1DBE1278E90A}"/>
            </c:ext>
          </c:extLst>
        </c:ser>
        <c:ser>
          <c:idx val="3"/>
          <c:order val="3"/>
          <c:tx>
            <c:strRef>
              <c:f>'R2'!$E$3</c:f>
              <c:strCache>
                <c:ptCount val="1"/>
                <c:pt idx="0">
                  <c:v>Sum of No. of attempted D</c:v>
                </c:pt>
              </c:strCache>
            </c:strRef>
          </c:tx>
          <c:spPr>
            <a:solidFill>
              <a:schemeClr val="accent4"/>
            </a:solidFill>
            <a:ln>
              <a:noFill/>
            </a:ln>
            <a:effectLst/>
          </c:spPr>
          <c:invertIfNegative val="0"/>
          <c:cat>
            <c:strRef>
              <c:f>'R2'!$A$4:$A$5</c:f>
              <c:strCache>
                <c:ptCount val="1"/>
                <c:pt idx="0">
                  <c:v>Logic_Lords</c:v>
                </c:pt>
              </c:strCache>
            </c:strRef>
          </c:cat>
          <c:val>
            <c:numRef>
              <c:f>'R2'!$E$4:$E$5</c:f>
              <c:numCache>
                <c:formatCode>General</c:formatCode>
                <c:ptCount val="1"/>
                <c:pt idx="0">
                  <c:v>0</c:v>
                </c:pt>
              </c:numCache>
            </c:numRef>
          </c:val>
          <c:extLst>
            <c:ext xmlns:c16="http://schemas.microsoft.com/office/drawing/2014/chart" uri="{C3380CC4-5D6E-409C-BE32-E72D297353CC}">
              <c16:uniqueId val="{00000003-697F-434F-964C-1DBE1278E90A}"/>
            </c:ext>
          </c:extLst>
        </c:ser>
        <c:ser>
          <c:idx val="4"/>
          <c:order val="4"/>
          <c:tx>
            <c:strRef>
              <c:f>'R2'!$F$3</c:f>
              <c:strCache>
                <c:ptCount val="1"/>
                <c:pt idx="0">
                  <c:v>Sum of No. of attempted E</c:v>
                </c:pt>
              </c:strCache>
            </c:strRef>
          </c:tx>
          <c:spPr>
            <a:solidFill>
              <a:schemeClr val="accent5"/>
            </a:solidFill>
            <a:ln>
              <a:noFill/>
            </a:ln>
            <a:effectLst/>
          </c:spPr>
          <c:invertIfNegative val="0"/>
          <c:cat>
            <c:strRef>
              <c:f>'R2'!$A$4:$A$5</c:f>
              <c:strCache>
                <c:ptCount val="1"/>
                <c:pt idx="0">
                  <c:v>Logic_Lords</c:v>
                </c:pt>
              </c:strCache>
            </c:strRef>
          </c:cat>
          <c:val>
            <c:numRef>
              <c:f>'R2'!$F$4:$F$5</c:f>
              <c:numCache>
                <c:formatCode>General</c:formatCode>
                <c:ptCount val="1"/>
                <c:pt idx="0">
                  <c:v>0</c:v>
                </c:pt>
              </c:numCache>
            </c:numRef>
          </c:val>
          <c:extLst>
            <c:ext xmlns:c16="http://schemas.microsoft.com/office/drawing/2014/chart" uri="{C3380CC4-5D6E-409C-BE32-E72D297353CC}">
              <c16:uniqueId val="{00000004-697F-434F-964C-1DBE1278E90A}"/>
            </c:ext>
          </c:extLst>
        </c:ser>
        <c:ser>
          <c:idx val="5"/>
          <c:order val="5"/>
          <c:tx>
            <c:strRef>
              <c:f>'R2'!$G$3</c:f>
              <c:strCache>
                <c:ptCount val="1"/>
                <c:pt idx="0">
                  <c:v>Sum of No. of attempted F</c:v>
                </c:pt>
              </c:strCache>
            </c:strRef>
          </c:tx>
          <c:spPr>
            <a:solidFill>
              <a:schemeClr val="accent6"/>
            </a:solidFill>
            <a:ln>
              <a:noFill/>
            </a:ln>
            <a:effectLst/>
          </c:spPr>
          <c:invertIfNegative val="0"/>
          <c:cat>
            <c:strRef>
              <c:f>'R2'!$A$4:$A$5</c:f>
              <c:strCache>
                <c:ptCount val="1"/>
                <c:pt idx="0">
                  <c:v>Logic_Lords</c:v>
                </c:pt>
              </c:strCache>
            </c:strRef>
          </c:cat>
          <c:val>
            <c:numRef>
              <c:f>'R2'!$G$4:$G$5</c:f>
              <c:numCache>
                <c:formatCode>General</c:formatCode>
                <c:ptCount val="1"/>
                <c:pt idx="0">
                  <c:v>0</c:v>
                </c:pt>
              </c:numCache>
            </c:numRef>
          </c:val>
          <c:extLst>
            <c:ext xmlns:c16="http://schemas.microsoft.com/office/drawing/2014/chart" uri="{C3380CC4-5D6E-409C-BE32-E72D297353CC}">
              <c16:uniqueId val="{00000005-697F-434F-964C-1DBE1278E90A}"/>
            </c:ext>
          </c:extLst>
        </c:ser>
        <c:dLbls>
          <c:showLegendKey val="0"/>
          <c:showVal val="0"/>
          <c:showCatName val="0"/>
          <c:showSerName val="0"/>
          <c:showPercent val="0"/>
          <c:showBubbleSize val="0"/>
        </c:dLbls>
        <c:gapWidth val="219"/>
        <c:overlap val="-27"/>
        <c:axId val="1656500687"/>
        <c:axId val="1656499023"/>
      </c:barChart>
      <c:catAx>
        <c:axId val="16565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99023"/>
        <c:crosses val="autoZero"/>
        <c:auto val="1"/>
        <c:lblAlgn val="ctr"/>
        <c:lblOffset val="100"/>
        <c:noMultiLvlLbl val="0"/>
      </c:catAx>
      <c:valAx>
        <c:axId val="165649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00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'R3'!$B$3</c:f>
              <c:strCache>
                <c:ptCount val="1"/>
                <c:pt idx="0">
                  <c:v>Total</c:v>
                </c:pt>
              </c:strCache>
            </c:strRef>
          </c:tx>
          <c:spPr>
            <a:solidFill>
              <a:schemeClr val="accent1"/>
            </a:solidFill>
            <a:ln>
              <a:noFill/>
            </a:ln>
            <a:effectLst/>
          </c:spPr>
          <c:invertIfNegative val="0"/>
          <c:cat>
            <c:strRef>
              <c:f>'R3'!$A$4:$A$5</c:f>
              <c:strCache>
                <c:ptCount val="1"/>
                <c:pt idx="0">
                  <c:v>Logic_Lords</c:v>
                </c:pt>
              </c:strCache>
            </c:strRef>
          </c:cat>
          <c:val>
            <c:numRef>
              <c:f>'R3'!$B$4:$B$5</c:f>
              <c:numCache>
                <c:formatCode>h:mm:ss</c:formatCode>
                <c:ptCount val="1"/>
                <c:pt idx="0">
                  <c:v>0</c:v>
                </c:pt>
              </c:numCache>
            </c:numRef>
          </c:val>
          <c:extLst>
            <c:ext xmlns:c16="http://schemas.microsoft.com/office/drawing/2014/chart" uri="{C3380CC4-5D6E-409C-BE32-E72D297353CC}">
              <c16:uniqueId val="{00000000-0EAB-46B0-9A4D-B728DAD6C1CA}"/>
            </c:ext>
          </c:extLst>
        </c:ser>
        <c:dLbls>
          <c:showLegendKey val="0"/>
          <c:showVal val="0"/>
          <c:showCatName val="0"/>
          <c:showSerName val="0"/>
          <c:showPercent val="0"/>
          <c:showBubbleSize val="0"/>
        </c:dLbls>
        <c:gapWidth val="219"/>
        <c:overlap val="-27"/>
        <c:axId val="1529825055"/>
        <c:axId val="1529825887"/>
      </c:barChart>
      <c:catAx>
        <c:axId val="15298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5887"/>
        <c:crosses val="autoZero"/>
        <c:auto val="1"/>
        <c:lblAlgn val="ctr"/>
        <c:lblOffset val="100"/>
        <c:noMultiLvlLbl val="0"/>
      </c:catAx>
      <c:valAx>
        <c:axId val="152982588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mm]:ss"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5055"/>
        <c:crosses val="autoZero"/>
        <c:crossBetween val="between"/>
        <c:minorUnit val="2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analysis.xlsx]Round1_Insights!PivotTable5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Round1_Insights!$B$13</c:f>
              <c:strCache>
                <c:ptCount val="1"/>
                <c:pt idx="0">
                  <c:v>Avg Time</c:v>
                </c:pt>
              </c:strCache>
            </c:strRef>
          </c:tx>
          <c:spPr>
            <a:solidFill>
              <a:schemeClr val="accent1"/>
            </a:solidFill>
            <a:ln>
              <a:noFill/>
            </a:ln>
            <a:effectLst/>
          </c:spPr>
          <c:invertIfNegative val="0"/>
          <c:cat>
            <c:strRef>
              <c:f>Round1_Insights!$A$14:$A$15</c:f>
              <c:strCache>
                <c:ptCount val="1"/>
                <c:pt idx="0">
                  <c:v>Question 4</c:v>
                </c:pt>
              </c:strCache>
            </c:strRef>
          </c:cat>
          <c:val>
            <c:numRef>
              <c:f>Round1_Insights!$B$14:$B$15</c:f>
              <c:numCache>
                <c:formatCode>mm:ss</c:formatCode>
                <c:ptCount val="1"/>
                <c:pt idx="0">
                  <c:v>3.5046296296296298E-2</c:v>
                </c:pt>
              </c:numCache>
            </c:numRef>
          </c:val>
          <c:extLst>
            <c:ext xmlns:c16="http://schemas.microsoft.com/office/drawing/2014/chart" uri="{C3380CC4-5D6E-409C-BE32-E72D297353CC}">
              <c16:uniqueId val="{00000000-F695-413F-AABB-234D2A289E82}"/>
            </c:ext>
          </c:extLst>
        </c:ser>
        <c:ser>
          <c:idx val="1"/>
          <c:order val="1"/>
          <c:tx>
            <c:strRef>
              <c:f>Round1_Insights!$C$13</c:f>
              <c:strCache>
                <c:ptCount val="1"/>
                <c:pt idx="0">
                  <c:v>Minimum Time of sol.</c:v>
                </c:pt>
              </c:strCache>
            </c:strRef>
          </c:tx>
          <c:spPr>
            <a:solidFill>
              <a:schemeClr val="accent2"/>
            </a:solidFill>
            <a:ln>
              <a:noFill/>
            </a:ln>
            <a:effectLst/>
          </c:spPr>
          <c:invertIfNegative val="0"/>
          <c:cat>
            <c:strRef>
              <c:f>Round1_Insights!$A$14:$A$15</c:f>
              <c:strCache>
                <c:ptCount val="1"/>
                <c:pt idx="0">
                  <c:v>Question 4</c:v>
                </c:pt>
              </c:strCache>
            </c:strRef>
          </c:cat>
          <c:val>
            <c:numRef>
              <c:f>Round1_Insights!$C$14:$C$15</c:f>
              <c:numCache>
                <c:formatCode>[mm]:ss</c:formatCode>
                <c:ptCount val="1"/>
                <c:pt idx="0">
                  <c:v>3.3796296296296297E-2</c:v>
                </c:pt>
              </c:numCache>
            </c:numRef>
          </c:val>
          <c:extLst>
            <c:ext xmlns:c16="http://schemas.microsoft.com/office/drawing/2014/chart" uri="{C3380CC4-5D6E-409C-BE32-E72D297353CC}">
              <c16:uniqueId val="{00000001-F695-413F-AABB-234D2A289E82}"/>
            </c:ext>
          </c:extLst>
        </c:ser>
        <c:ser>
          <c:idx val="2"/>
          <c:order val="2"/>
          <c:tx>
            <c:strRef>
              <c:f>Round1_Insights!$D$13</c:f>
              <c:strCache>
                <c:ptCount val="1"/>
                <c:pt idx="0">
                  <c:v>Maximum Time of sol.</c:v>
                </c:pt>
              </c:strCache>
            </c:strRef>
          </c:tx>
          <c:spPr>
            <a:solidFill>
              <a:schemeClr val="accent3"/>
            </a:solidFill>
            <a:ln>
              <a:noFill/>
            </a:ln>
            <a:effectLst/>
          </c:spPr>
          <c:invertIfNegative val="0"/>
          <c:cat>
            <c:strRef>
              <c:f>Round1_Insights!$A$14:$A$15</c:f>
              <c:strCache>
                <c:ptCount val="1"/>
                <c:pt idx="0">
                  <c:v>Question 4</c:v>
                </c:pt>
              </c:strCache>
            </c:strRef>
          </c:cat>
          <c:val>
            <c:numRef>
              <c:f>Round1_Insights!$D$14:$D$15</c:f>
              <c:numCache>
                <c:formatCode>[mm]:ss</c:formatCode>
                <c:ptCount val="1"/>
                <c:pt idx="0">
                  <c:v>3.6284722222222225E-2</c:v>
                </c:pt>
              </c:numCache>
            </c:numRef>
          </c:val>
          <c:extLst>
            <c:ext xmlns:c16="http://schemas.microsoft.com/office/drawing/2014/chart" uri="{C3380CC4-5D6E-409C-BE32-E72D297353CC}">
              <c16:uniqueId val="{00000002-F695-413F-AABB-234D2A289E82}"/>
            </c:ext>
          </c:extLst>
        </c:ser>
        <c:dLbls>
          <c:showLegendKey val="0"/>
          <c:showVal val="0"/>
          <c:showCatName val="0"/>
          <c:showSerName val="0"/>
          <c:showPercent val="0"/>
          <c:showBubbleSize val="0"/>
        </c:dLbls>
        <c:gapWidth val="219"/>
        <c:overlap val="-27"/>
        <c:axId val="1521654879"/>
        <c:axId val="1521653215"/>
      </c:barChart>
      <c:catAx>
        <c:axId val="15216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53215"/>
        <c:crosses val="autoZero"/>
        <c:auto val="1"/>
        <c:lblAlgn val="ctr"/>
        <c:lblOffset val="100"/>
        <c:noMultiLvlLbl val="0"/>
      </c:catAx>
      <c:valAx>
        <c:axId val="1521653215"/>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54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analysis.xlsx]R1!PivotTable1</c:name>
    <c:fmtId val="14"/>
  </c:pivotSource>
  <c:chart>
    <c:autoTitleDeleted val="1"/>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'R1'!$B$3</c:f>
              <c:strCache>
                <c:ptCount val="1"/>
                <c:pt idx="0">
                  <c:v>Total Score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'R1'!$A$4:$A$5</c:f>
              <c:strCache>
                <c:ptCount val="1"/>
                <c:pt idx="0">
                  <c:v>Logic_Lords</c:v>
                </c:pt>
              </c:strCache>
            </c:strRef>
          </c:cat>
          <c:val>
            <c:numRef>
              <c:f>'R1'!$B$4:$B$5</c:f>
              <c:numCache>
                <c:formatCode>General</c:formatCode>
                <c:ptCount val="1"/>
                <c:pt idx="0">
                  <c:v>0</c:v>
                </c:pt>
              </c:numCache>
            </c:numRef>
          </c:val>
          <c:extLst>
            <c:ext xmlns:c16="http://schemas.microsoft.com/office/drawing/2014/chart" uri="{C3380CC4-5D6E-409C-BE32-E72D297353CC}">
              <c16:uniqueId val="{00000000-6761-4322-9ADE-6CC1DA2BABD9}"/>
            </c:ext>
          </c:extLst>
        </c:ser>
        <c:ser>
          <c:idx val="1"/>
          <c:order val="1"/>
          <c:tx>
            <c:strRef>
              <c:f>'R1'!$C$3</c:f>
              <c:strCache>
                <c:ptCount val="1"/>
                <c:pt idx="0">
                  <c:v>Question Attemped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'R1'!$A$4:$A$5</c:f>
              <c:strCache>
                <c:ptCount val="1"/>
                <c:pt idx="0">
                  <c:v>Logic_Lords</c:v>
                </c:pt>
              </c:strCache>
            </c:strRef>
          </c:cat>
          <c:val>
            <c:numRef>
              <c:f>'R1'!$C$4:$C$5</c:f>
              <c:numCache>
                <c:formatCode>General</c:formatCode>
                <c:ptCount val="1"/>
                <c:pt idx="0">
                  <c:v>2</c:v>
                </c:pt>
              </c:numCache>
            </c:numRef>
          </c:val>
          <c:extLst>
            <c:ext xmlns:c16="http://schemas.microsoft.com/office/drawing/2014/chart" uri="{C3380CC4-5D6E-409C-BE32-E72D297353CC}">
              <c16:uniqueId val="{00000001-6761-4322-9ADE-6CC1DA2BABD9}"/>
            </c:ext>
          </c:extLst>
        </c:ser>
        <c:dLbls>
          <c:showLegendKey val="0"/>
          <c:showVal val="0"/>
          <c:showCatName val="0"/>
          <c:showSerName val="0"/>
          <c:showPercent val="0"/>
          <c:showBubbleSize val="0"/>
        </c:dLbls>
        <c:gapWidth val="355"/>
        <c:overlap val="-70"/>
        <c:axId val="1503252719"/>
        <c:axId val="1503262703"/>
      </c:barChart>
      <c:catAx>
        <c:axId val="15032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62703"/>
        <c:crosses val="autoZero"/>
        <c:auto val="1"/>
        <c:lblAlgn val="ctr"/>
        <c:lblOffset val="500"/>
        <c:noMultiLvlLbl val="0"/>
      </c:catAx>
      <c:valAx>
        <c:axId val="150326270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52719"/>
        <c:crosses val="autoZero"/>
        <c:crossBetween val="between"/>
        <c:majorUnit val="1"/>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No. of Each Question Attempted</a:t>
            </a:r>
            <a:endParaRPr lang="en-US">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clustered"/>
        <c:varyColors val="0"/>
        <c:ser>
          <c:idx val="0"/>
          <c:order val="0"/>
          <c:tx>
            <c:strRef>
              <c:f>'R2'!$B$3</c:f>
              <c:strCache>
                <c:ptCount val="1"/>
                <c:pt idx="0">
                  <c:v>Sum of No. of attempted A</c:v>
                </c:pt>
              </c:strCache>
            </c:strRef>
          </c:tx>
          <c:spPr>
            <a:solidFill>
              <a:schemeClr val="accent1"/>
            </a:solidFill>
            <a:ln>
              <a:noFill/>
            </a:ln>
            <a:effectLst/>
          </c:spPr>
          <c:invertIfNegative val="0"/>
          <c:cat>
            <c:strRef>
              <c:f>'R2'!$A$4:$A$5</c:f>
              <c:strCache>
                <c:ptCount val="1"/>
                <c:pt idx="0">
                  <c:v>Logic_Lords</c:v>
                </c:pt>
              </c:strCache>
            </c:strRef>
          </c:cat>
          <c:val>
            <c:numRef>
              <c:f>'R2'!$B$4:$B$5</c:f>
              <c:numCache>
                <c:formatCode>General</c:formatCode>
                <c:ptCount val="1"/>
                <c:pt idx="0">
                  <c:v>-1</c:v>
                </c:pt>
              </c:numCache>
            </c:numRef>
          </c:val>
          <c:extLst>
            <c:ext xmlns:c16="http://schemas.microsoft.com/office/drawing/2014/chart" uri="{C3380CC4-5D6E-409C-BE32-E72D297353CC}">
              <c16:uniqueId val="{00000000-C532-4931-9EF1-DFE6C1AFD53F}"/>
            </c:ext>
          </c:extLst>
        </c:ser>
        <c:ser>
          <c:idx val="1"/>
          <c:order val="1"/>
          <c:tx>
            <c:strRef>
              <c:f>'R2'!$C$3</c:f>
              <c:strCache>
                <c:ptCount val="1"/>
                <c:pt idx="0">
                  <c:v>Sum of No. of attempted B</c:v>
                </c:pt>
              </c:strCache>
            </c:strRef>
          </c:tx>
          <c:spPr>
            <a:solidFill>
              <a:schemeClr val="accent2"/>
            </a:solidFill>
            <a:ln>
              <a:noFill/>
            </a:ln>
            <a:effectLst/>
          </c:spPr>
          <c:invertIfNegative val="0"/>
          <c:cat>
            <c:strRef>
              <c:f>'R2'!$A$4:$A$5</c:f>
              <c:strCache>
                <c:ptCount val="1"/>
                <c:pt idx="0">
                  <c:v>Logic_Lords</c:v>
                </c:pt>
              </c:strCache>
            </c:strRef>
          </c:cat>
          <c:val>
            <c:numRef>
              <c:f>'R2'!$C$4:$C$5</c:f>
              <c:numCache>
                <c:formatCode>General</c:formatCode>
                <c:ptCount val="1"/>
                <c:pt idx="0">
                  <c:v>0</c:v>
                </c:pt>
              </c:numCache>
            </c:numRef>
          </c:val>
          <c:extLst>
            <c:ext xmlns:c16="http://schemas.microsoft.com/office/drawing/2014/chart" uri="{C3380CC4-5D6E-409C-BE32-E72D297353CC}">
              <c16:uniqueId val="{00000001-C532-4931-9EF1-DFE6C1AFD53F}"/>
            </c:ext>
          </c:extLst>
        </c:ser>
        <c:ser>
          <c:idx val="2"/>
          <c:order val="2"/>
          <c:tx>
            <c:strRef>
              <c:f>'R2'!$D$3</c:f>
              <c:strCache>
                <c:ptCount val="1"/>
                <c:pt idx="0">
                  <c:v>Sum of No. of attempted C</c:v>
                </c:pt>
              </c:strCache>
            </c:strRef>
          </c:tx>
          <c:spPr>
            <a:solidFill>
              <a:schemeClr val="accent3"/>
            </a:solidFill>
            <a:ln>
              <a:noFill/>
            </a:ln>
            <a:effectLst/>
          </c:spPr>
          <c:invertIfNegative val="0"/>
          <c:cat>
            <c:strRef>
              <c:f>'R2'!$A$4:$A$5</c:f>
              <c:strCache>
                <c:ptCount val="1"/>
                <c:pt idx="0">
                  <c:v>Logic_Lords</c:v>
                </c:pt>
              </c:strCache>
            </c:strRef>
          </c:cat>
          <c:val>
            <c:numRef>
              <c:f>'R2'!$D$4:$D$5</c:f>
              <c:numCache>
                <c:formatCode>General</c:formatCode>
                <c:ptCount val="1"/>
                <c:pt idx="0">
                  <c:v>-1</c:v>
                </c:pt>
              </c:numCache>
            </c:numRef>
          </c:val>
          <c:extLst>
            <c:ext xmlns:c16="http://schemas.microsoft.com/office/drawing/2014/chart" uri="{C3380CC4-5D6E-409C-BE32-E72D297353CC}">
              <c16:uniqueId val="{00000002-C532-4931-9EF1-DFE6C1AFD53F}"/>
            </c:ext>
          </c:extLst>
        </c:ser>
        <c:ser>
          <c:idx val="3"/>
          <c:order val="3"/>
          <c:tx>
            <c:strRef>
              <c:f>'R2'!$E$3</c:f>
              <c:strCache>
                <c:ptCount val="1"/>
                <c:pt idx="0">
                  <c:v>Sum of No. of attempted D</c:v>
                </c:pt>
              </c:strCache>
            </c:strRef>
          </c:tx>
          <c:spPr>
            <a:solidFill>
              <a:schemeClr val="accent4"/>
            </a:solidFill>
            <a:ln>
              <a:noFill/>
            </a:ln>
            <a:effectLst/>
          </c:spPr>
          <c:invertIfNegative val="0"/>
          <c:cat>
            <c:strRef>
              <c:f>'R2'!$A$4:$A$5</c:f>
              <c:strCache>
                <c:ptCount val="1"/>
                <c:pt idx="0">
                  <c:v>Logic_Lords</c:v>
                </c:pt>
              </c:strCache>
            </c:strRef>
          </c:cat>
          <c:val>
            <c:numRef>
              <c:f>'R2'!$E$4:$E$5</c:f>
              <c:numCache>
                <c:formatCode>General</c:formatCode>
                <c:ptCount val="1"/>
                <c:pt idx="0">
                  <c:v>0</c:v>
                </c:pt>
              </c:numCache>
            </c:numRef>
          </c:val>
          <c:extLst>
            <c:ext xmlns:c16="http://schemas.microsoft.com/office/drawing/2014/chart" uri="{C3380CC4-5D6E-409C-BE32-E72D297353CC}">
              <c16:uniqueId val="{00000003-C532-4931-9EF1-DFE6C1AFD53F}"/>
            </c:ext>
          </c:extLst>
        </c:ser>
        <c:ser>
          <c:idx val="4"/>
          <c:order val="4"/>
          <c:tx>
            <c:strRef>
              <c:f>'R2'!$F$3</c:f>
              <c:strCache>
                <c:ptCount val="1"/>
                <c:pt idx="0">
                  <c:v>Sum of No. of attempted E</c:v>
                </c:pt>
              </c:strCache>
            </c:strRef>
          </c:tx>
          <c:spPr>
            <a:solidFill>
              <a:schemeClr val="accent5"/>
            </a:solidFill>
            <a:ln>
              <a:noFill/>
            </a:ln>
            <a:effectLst/>
          </c:spPr>
          <c:invertIfNegative val="0"/>
          <c:cat>
            <c:strRef>
              <c:f>'R2'!$A$4:$A$5</c:f>
              <c:strCache>
                <c:ptCount val="1"/>
                <c:pt idx="0">
                  <c:v>Logic_Lords</c:v>
                </c:pt>
              </c:strCache>
            </c:strRef>
          </c:cat>
          <c:val>
            <c:numRef>
              <c:f>'R2'!$F$4:$F$5</c:f>
              <c:numCache>
                <c:formatCode>General</c:formatCode>
                <c:ptCount val="1"/>
                <c:pt idx="0">
                  <c:v>0</c:v>
                </c:pt>
              </c:numCache>
            </c:numRef>
          </c:val>
          <c:extLst>
            <c:ext xmlns:c16="http://schemas.microsoft.com/office/drawing/2014/chart" uri="{C3380CC4-5D6E-409C-BE32-E72D297353CC}">
              <c16:uniqueId val="{00000004-C532-4931-9EF1-DFE6C1AFD53F}"/>
            </c:ext>
          </c:extLst>
        </c:ser>
        <c:ser>
          <c:idx val="5"/>
          <c:order val="5"/>
          <c:tx>
            <c:strRef>
              <c:f>'R2'!$G$3</c:f>
              <c:strCache>
                <c:ptCount val="1"/>
                <c:pt idx="0">
                  <c:v>Sum of No. of attempted F</c:v>
                </c:pt>
              </c:strCache>
            </c:strRef>
          </c:tx>
          <c:spPr>
            <a:solidFill>
              <a:schemeClr val="accent6"/>
            </a:solidFill>
            <a:ln>
              <a:noFill/>
            </a:ln>
            <a:effectLst/>
          </c:spPr>
          <c:invertIfNegative val="0"/>
          <c:cat>
            <c:strRef>
              <c:f>'R2'!$A$4:$A$5</c:f>
              <c:strCache>
                <c:ptCount val="1"/>
                <c:pt idx="0">
                  <c:v>Logic_Lords</c:v>
                </c:pt>
              </c:strCache>
            </c:strRef>
          </c:cat>
          <c:val>
            <c:numRef>
              <c:f>'R2'!$G$4:$G$5</c:f>
              <c:numCache>
                <c:formatCode>General</c:formatCode>
                <c:ptCount val="1"/>
                <c:pt idx="0">
                  <c:v>0</c:v>
                </c:pt>
              </c:numCache>
            </c:numRef>
          </c:val>
          <c:extLst>
            <c:ext xmlns:c16="http://schemas.microsoft.com/office/drawing/2014/chart" uri="{C3380CC4-5D6E-409C-BE32-E72D297353CC}">
              <c16:uniqueId val="{00000005-C532-4931-9EF1-DFE6C1AFD53F}"/>
            </c:ext>
          </c:extLst>
        </c:ser>
        <c:dLbls>
          <c:showLegendKey val="0"/>
          <c:showVal val="0"/>
          <c:showCatName val="0"/>
          <c:showSerName val="0"/>
          <c:showPercent val="0"/>
          <c:showBubbleSize val="0"/>
        </c:dLbls>
        <c:gapWidth val="167"/>
        <c:overlap val="-87"/>
        <c:axId val="1656500687"/>
        <c:axId val="1656499023"/>
      </c:barChart>
      <c:catAx>
        <c:axId val="16565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99023"/>
        <c:crosses val="autoZero"/>
        <c:auto val="1"/>
        <c:lblAlgn val="ctr"/>
        <c:lblOffset val="100"/>
        <c:noMultiLvlLbl val="0"/>
      </c:catAx>
      <c:valAx>
        <c:axId val="165649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006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analysis.xlsx]Round1_Insights!PivotTable5</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noFill/>
          <a:ln w="25400" cap="flat" cmpd="sng" algn="ctr">
            <a:solidFill>
              <a:schemeClr val="accent1"/>
            </a:solidFill>
            <a:miter lim="800000"/>
          </a:ln>
          <a:effectLst/>
        </c:spPr>
        <c:marker>
          <c:symbol val="none"/>
        </c:marker>
      </c:pivotFmt>
      <c:pivotFmt>
        <c:idx val="10"/>
        <c:spPr>
          <a:noFill/>
          <a:ln w="25400" cap="flat" cmpd="sng" algn="ctr">
            <a:solidFill>
              <a:schemeClr val="accent1"/>
            </a:solidFill>
            <a:miter lim="800000"/>
          </a:ln>
          <a:effectLst/>
        </c:spPr>
        <c:marker>
          <c:symbol val="none"/>
        </c:marker>
      </c:pivotFmt>
      <c:pivotFmt>
        <c:idx val="11"/>
        <c:spPr>
          <a:noFill/>
          <a:ln w="25400" cap="flat" cmpd="sng" algn="ctr">
            <a:solidFill>
              <a:schemeClr val="accent1"/>
            </a:solidFill>
            <a:miter lim="800000"/>
          </a:ln>
          <a:effectLst/>
        </c:spPr>
        <c:marker>
          <c:symbol val="none"/>
        </c:marker>
      </c:pivotFmt>
    </c:pivotFmts>
    <c:plotArea>
      <c:layout>
        <c:manualLayout>
          <c:layoutTarget val="inner"/>
          <c:xMode val="edge"/>
          <c:yMode val="edge"/>
          <c:x val="8.3922302265408311E-2"/>
          <c:y val="2.8368794326241134E-2"/>
          <c:w val="0.89007296960220394"/>
          <c:h val="0.79761210699726359"/>
        </c:manualLayout>
      </c:layout>
      <c:barChart>
        <c:barDir val="col"/>
        <c:grouping val="clustered"/>
        <c:varyColors val="0"/>
        <c:ser>
          <c:idx val="0"/>
          <c:order val="0"/>
          <c:tx>
            <c:strRef>
              <c:f>Round1_Insights!$B$13</c:f>
              <c:strCache>
                <c:ptCount val="1"/>
                <c:pt idx="0">
                  <c:v>Avg Time</c:v>
                </c:pt>
              </c:strCache>
            </c:strRef>
          </c:tx>
          <c:spPr>
            <a:noFill/>
            <a:ln w="25400" cap="flat" cmpd="sng" algn="ctr">
              <a:solidFill>
                <a:schemeClr val="accent1"/>
              </a:solidFill>
              <a:miter lim="800000"/>
            </a:ln>
            <a:effectLst/>
          </c:spPr>
          <c:invertIfNegative val="0"/>
          <c:cat>
            <c:strRef>
              <c:f>Round1_Insights!$A$14:$A$15</c:f>
              <c:strCache>
                <c:ptCount val="1"/>
                <c:pt idx="0">
                  <c:v>Question 4</c:v>
                </c:pt>
              </c:strCache>
            </c:strRef>
          </c:cat>
          <c:val>
            <c:numRef>
              <c:f>Round1_Insights!$B$14:$B$15</c:f>
              <c:numCache>
                <c:formatCode>mm:ss</c:formatCode>
                <c:ptCount val="1"/>
                <c:pt idx="0">
                  <c:v>3.5046296296296298E-2</c:v>
                </c:pt>
              </c:numCache>
            </c:numRef>
          </c:val>
          <c:extLst>
            <c:ext xmlns:c16="http://schemas.microsoft.com/office/drawing/2014/chart" uri="{C3380CC4-5D6E-409C-BE32-E72D297353CC}">
              <c16:uniqueId val="{00000000-75A9-46B4-AAF2-2AA108D8F578}"/>
            </c:ext>
          </c:extLst>
        </c:ser>
        <c:ser>
          <c:idx val="1"/>
          <c:order val="1"/>
          <c:tx>
            <c:strRef>
              <c:f>Round1_Insights!$C$13</c:f>
              <c:strCache>
                <c:ptCount val="1"/>
                <c:pt idx="0">
                  <c:v>Minimum Time of sol.</c:v>
                </c:pt>
              </c:strCache>
            </c:strRef>
          </c:tx>
          <c:spPr>
            <a:noFill/>
            <a:ln w="25400" cap="flat" cmpd="sng" algn="ctr">
              <a:solidFill>
                <a:schemeClr val="accent2"/>
              </a:solidFill>
              <a:miter lim="800000"/>
            </a:ln>
            <a:effectLst/>
          </c:spPr>
          <c:invertIfNegative val="0"/>
          <c:cat>
            <c:strRef>
              <c:f>Round1_Insights!$A$14:$A$15</c:f>
              <c:strCache>
                <c:ptCount val="1"/>
                <c:pt idx="0">
                  <c:v>Question 4</c:v>
                </c:pt>
              </c:strCache>
            </c:strRef>
          </c:cat>
          <c:val>
            <c:numRef>
              <c:f>Round1_Insights!$C$14:$C$15</c:f>
              <c:numCache>
                <c:formatCode>[mm]:ss</c:formatCode>
                <c:ptCount val="1"/>
                <c:pt idx="0">
                  <c:v>3.3796296296296297E-2</c:v>
                </c:pt>
              </c:numCache>
            </c:numRef>
          </c:val>
          <c:extLst>
            <c:ext xmlns:c16="http://schemas.microsoft.com/office/drawing/2014/chart" uri="{C3380CC4-5D6E-409C-BE32-E72D297353CC}">
              <c16:uniqueId val="{00000001-75A9-46B4-AAF2-2AA108D8F578}"/>
            </c:ext>
          </c:extLst>
        </c:ser>
        <c:ser>
          <c:idx val="2"/>
          <c:order val="2"/>
          <c:tx>
            <c:strRef>
              <c:f>Round1_Insights!$D$13</c:f>
              <c:strCache>
                <c:ptCount val="1"/>
                <c:pt idx="0">
                  <c:v>Maximum Time of sol.</c:v>
                </c:pt>
              </c:strCache>
            </c:strRef>
          </c:tx>
          <c:spPr>
            <a:noFill/>
            <a:ln w="25400" cap="flat" cmpd="sng" algn="ctr">
              <a:solidFill>
                <a:schemeClr val="accent3"/>
              </a:solidFill>
              <a:miter lim="800000"/>
            </a:ln>
            <a:effectLst/>
          </c:spPr>
          <c:invertIfNegative val="0"/>
          <c:cat>
            <c:strRef>
              <c:f>Round1_Insights!$A$14:$A$15</c:f>
              <c:strCache>
                <c:ptCount val="1"/>
                <c:pt idx="0">
                  <c:v>Question 4</c:v>
                </c:pt>
              </c:strCache>
            </c:strRef>
          </c:cat>
          <c:val>
            <c:numRef>
              <c:f>Round1_Insights!$D$14:$D$15</c:f>
              <c:numCache>
                <c:formatCode>[mm]:ss</c:formatCode>
                <c:ptCount val="1"/>
                <c:pt idx="0">
                  <c:v>3.6284722222222225E-2</c:v>
                </c:pt>
              </c:numCache>
            </c:numRef>
          </c:val>
          <c:extLst>
            <c:ext xmlns:c16="http://schemas.microsoft.com/office/drawing/2014/chart" uri="{C3380CC4-5D6E-409C-BE32-E72D297353CC}">
              <c16:uniqueId val="{00000002-75A9-46B4-AAF2-2AA108D8F578}"/>
            </c:ext>
          </c:extLst>
        </c:ser>
        <c:dLbls>
          <c:showLegendKey val="0"/>
          <c:showVal val="0"/>
          <c:showCatName val="0"/>
          <c:showSerName val="0"/>
          <c:showPercent val="0"/>
          <c:showBubbleSize val="0"/>
        </c:dLbls>
        <c:gapWidth val="164"/>
        <c:overlap val="-35"/>
        <c:axId val="1521654879"/>
        <c:axId val="1521653215"/>
      </c:barChart>
      <c:catAx>
        <c:axId val="152165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1653215"/>
        <c:crosses val="autoZero"/>
        <c:auto val="1"/>
        <c:lblAlgn val="ctr"/>
        <c:lblOffset val="100"/>
        <c:noMultiLvlLbl val="0"/>
      </c:catAx>
      <c:valAx>
        <c:axId val="1521653215"/>
        <c:scaling>
          <c:orientation val="minMax"/>
        </c:scaling>
        <c:delete val="0"/>
        <c:axPos val="l"/>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165487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analysis.xlsx]R3!PivotTable6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'R3'!$B$3</c:f>
              <c:strCache>
                <c:ptCount val="1"/>
                <c:pt idx="0">
                  <c:v>Total</c:v>
                </c:pt>
              </c:strCache>
            </c:strRef>
          </c:tx>
          <c:spPr>
            <a:solidFill>
              <a:schemeClr val="accent1"/>
            </a:solidFill>
            <a:ln>
              <a:noFill/>
            </a:ln>
            <a:effectLst/>
          </c:spPr>
          <c:invertIfNegative val="0"/>
          <c:cat>
            <c:strRef>
              <c:f>'R3'!$A$4:$A$5</c:f>
              <c:strCache>
                <c:ptCount val="1"/>
                <c:pt idx="0">
                  <c:v>Logic_Lords</c:v>
                </c:pt>
              </c:strCache>
            </c:strRef>
          </c:cat>
          <c:val>
            <c:numRef>
              <c:f>'R3'!$B$4:$B$5</c:f>
              <c:numCache>
                <c:formatCode>h:mm:ss</c:formatCode>
                <c:ptCount val="1"/>
                <c:pt idx="0">
                  <c:v>0</c:v>
                </c:pt>
              </c:numCache>
            </c:numRef>
          </c:val>
          <c:extLst>
            <c:ext xmlns:c16="http://schemas.microsoft.com/office/drawing/2014/chart" uri="{C3380CC4-5D6E-409C-BE32-E72D297353CC}">
              <c16:uniqueId val="{00000000-495C-44A2-917C-1B80054E0A27}"/>
            </c:ext>
          </c:extLst>
        </c:ser>
        <c:dLbls>
          <c:showLegendKey val="0"/>
          <c:showVal val="0"/>
          <c:showCatName val="0"/>
          <c:showSerName val="0"/>
          <c:showPercent val="0"/>
          <c:showBubbleSize val="0"/>
        </c:dLbls>
        <c:gapWidth val="219"/>
        <c:overlap val="-27"/>
        <c:axId val="1529825055"/>
        <c:axId val="1529825887"/>
      </c:barChart>
      <c:catAx>
        <c:axId val="15298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5887"/>
        <c:crosses val="autoZero"/>
        <c:auto val="1"/>
        <c:lblAlgn val="ctr"/>
        <c:lblOffset val="100"/>
        <c:noMultiLvlLbl val="0"/>
      </c:catAx>
      <c:valAx>
        <c:axId val="152982588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mm]:ss"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5055"/>
        <c:crosses val="autoZero"/>
        <c:crossBetween val="between"/>
        <c:minorUnit val="2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analysis.xlsx]Combine!PivotTable7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Combine!$B$3</c:f>
              <c:strCache>
                <c:ptCount val="1"/>
                <c:pt idx="0">
                  <c:v>Round1_Score</c:v>
                </c:pt>
              </c:strCache>
            </c:strRef>
          </c:tx>
          <c:spPr>
            <a:solidFill>
              <a:schemeClr val="accent1"/>
            </a:solidFill>
            <a:ln>
              <a:noFill/>
            </a:ln>
            <a:effectLst/>
          </c:spPr>
          <c:invertIfNegative val="0"/>
          <c:cat>
            <c:strRef>
              <c:f>Combine!$A$4:$A$25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Combine!$B$4:$B$25</c:f>
              <c:numCache>
                <c:formatCode>General</c:formatCode>
                <c:ptCount val="21"/>
                <c:pt idx="0">
                  <c:v>1</c:v>
                </c:pt>
                <c:pt idx="1">
                  <c:v>0</c:v>
                </c:pt>
                <c:pt idx="2">
                  <c:v>0</c:v>
                </c:pt>
                <c:pt idx="3">
                  <c:v>0</c:v>
                </c:pt>
                <c:pt idx="4">
                  <c:v>2</c:v>
                </c:pt>
                <c:pt idx="5">
                  <c:v>2</c:v>
                </c:pt>
                <c:pt idx="6">
                  <c:v>0</c:v>
                </c:pt>
                <c:pt idx="7">
                  <c:v>2</c:v>
                </c:pt>
                <c:pt idx="8">
                  <c:v>2</c:v>
                </c:pt>
                <c:pt idx="9">
                  <c:v>0</c:v>
                </c:pt>
                <c:pt idx="10">
                  <c:v>0</c:v>
                </c:pt>
                <c:pt idx="11">
                  <c:v>2</c:v>
                </c:pt>
                <c:pt idx="12">
                  <c:v>2</c:v>
                </c:pt>
                <c:pt idx="13">
                  <c:v>0</c:v>
                </c:pt>
                <c:pt idx="14">
                  <c:v>0</c:v>
                </c:pt>
                <c:pt idx="15">
                  <c:v>0</c:v>
                </c:pt>
                <c:pt idx="16">
                  <c:v>0</c:v>
                </c:pt>
                <c:pt idx="17">
                  <c:v>1</c:v>
                </c:pt>
                <c:pt idx="18">
                  <c:v>4</c:v>
                </c:pt>
                <c:pt idx="19">
                  <c:v>3</c:v>
                </c:pt>
                <c:pt idx="20">
                  <c:v>1</c:v>
                </c:pt>
              </c:numCache>
            </c:numRef>
          </c:val>
          <c:extLst>
            <c:ext xmlns:c16="http://schemas.microsoft.com/office/drawing/2014/chart" uri="{C3380CC4-5D6E-409C-BE32-E72D297353CC}">
              <c16:uniqueId val="{00000000-8CDC-41F1-A32B-3CE8CAF53FA3}"/>
            </c:ext>
          </c:extLst>
        </c:ser>
        <c:ser>
          <c:idx val="1"/>
          <c:order val="1"/>
          <c:tx>
            <c:strRef>
              <c:f>Combine!$C$3</c:f>
              <c:strCache>
                <c:ptCount val="1"/>
                <c:pt idx="0">
                  <c:v>Round2_Score</c:v>
                </c:pt>
              </c:strCache>
            </c:strRef>
          </c:tx>
          <c:spPr>
            <a:solidFill>
              <a:schemeClr val="accent2"/>
            </a:solidFill>
            <a:ln>
              <a:noFill/>
            </a:ln>
            <a:effectLst/>
          </c:spPr>
          <c:invertIfNegative val="0"/>
          <c:cat>
            <c:strRef>
              <c:f>Combine!$A$4:$A$25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Combine!$C$4:$C$25</c:f>
              <c:numCache>
                <c:formatCode>General</c:formatCode>
                <c:ptCount val="21"/>
                <c:pt idx="0">
                  <c:v>0</c:v>
                </c:pt>
                <c:pt idx="1">
                  <c:v>0</c:v>
                </c:pt>
                <c:pt idx="2">
                  <c:v>0</c:v>
                </c:pt>
                <c:pt idx="3">
                  <c:v>0</c:v>
                </c:pt>
                <c:pt idx="4">
                  <c:v>2</c:v>
                </c:pt>
                <c:pt idx="5">
                  <c:v>4</c:v>
                </c:pt>
                <c:pt idx="6">
                  <c:v>0</c:v>
                </c:pt>
                <c:pt idx="7">
                  <c:v>2</c:v>
                </c:pt>
                <c:pt idx="8">
                  <c:v>0</c:v>
                </c:pt>
                <c:pt idx="9">
                  <c:v>0</c:v>
                </c:pt>
                <c:pt idx="10">
                  <c:v>0</c:v>
                </c:pt>
                <c:pt idx="11">
                  <c:v>2</c:v>
                </c:pt>
                <c:pt idx="12">
                  <c:v>0</c:v>
                </c:pt>
                <c:pt idx="13">
                  <c:v>0</c:v>
                </c:pt>
                <c:pt idx="14">
                  <c:v>6</c:v>
                </c:pt>
                <c:pt idx="15">
                  <c:v>0</c:v>
                </c:pt>
                <c:pt idx="16">
                  <c:v>0</c:v>
                </c:pt>
                <c:pt idx="17">
                  <c:v>0</c:v>
                </c:pt>
                <c:pt idx="18">
                  <c:v>6</c:v>
                </c:pt>
                <c:pt idx="19">
                  <c:v>4</c:v>
                </c:pt>
                <c:pt idx="20">
                  <c:v>2</c:v>
                </c:pt>
              </c:numCache>
            </c:numRef>
          </c:val>
          <c:extLst>
            <c:ext xmlns:c16="http://schemas.microsoft.com/office/drawing/2014/chart" uri="{C3380CC4-5D6E-409C-BE32-E72D297353CC}">
              <c16:uniqueId val="{00000001-8CDC-41F1-A32B-3CE8CAF53FA3}"/>
            </c:ext>
          </c:extLst>
        </c:ser>
        <c:dLbls>
          <c:showLegendKey val="0"/>
          <c:showVal val="0"/>
          <c:showCatName val="0"/>
          <c:showSerName val="0"/>
          <c:showPercent val="0"/>
          <c:showBubbleSize val="0"/>
        </c:dLbls>
        <c:gapWidth val="219"/>
        <c:overlap val="-27"/>
        <c:axId val="1529819231"/>
        <c:axId val="1529820895"/>
      </c:barChart>
      <c:catAx>
        <c:axId val="15298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0895"/>
        <c:crosses val="autoZero"/>
        <c:auto val="1"/>
        <c:lblAlgn val="ctr"/>
        <c:lblOffset val="100"/>
        <c:noMultiLvlLbl val="0"/>
      </c:catAx>
      <c:valAx>
        <c:axId val="152982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19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'f1'!$B$3</c:f>
              <c:strCache>
                <c:ptCount val="1"/>
                <c:pt idx="0">
                  <c:v>Total Score</c:v>
                </c:pt>
              </c:strCache>
            </c:strRef>
          </c:tx>
          <c:spPr>
            <a:solidFill>
              <a:schemeClr val="accent1"/>
            </a:solidFill>
            <a:ln>
              <a:noFill/>
            </a:ln>
            <a:effectLst/>
          </c:spPr>
          <c:invertIfNegative val="0"/>
          <c:cat>
            <c:strRef>
              <c:f>'f1'!$A$4:$A$25</c:f>
              <c:strCache>
                <c:ptCount val="21"/>
                <c:pt idx="0">
                  <c:v>Team Django</c:v>
                </c:pt>
                <c:pt idx="1">
                  <c:v>M_Hu7Ain</c:v>
                </c:pt>
                <c:pt idx="2">
                  <c:v>The Invincibles</c:v>
                </c:pt>
                <c:pt idx="3">
                  <c:v>Coder</c:v>
                </c:pt>
                <c:pt idx="4">
                  <c:v>Jinnah Coders</c:v>
                </c:pt>
                <c:pt idx="5">
                  <c:v>Centers United</c:v>
                </c:pt>
                <c:pt idx="6">
                  <c:v>Coders++</c:v>
                </c:pt>
                <c:pt idx="7">
                  <c:v>The Vengeance</c:v>
                </c:pt>
                <c:pt idx="8">
                  <c:v>Mehdi Syeds</c:v>
                </c:pt>
                <c:pt idx="9">
                  <c:v>Fast Walay</c:v>
                </c:pt>
                <c:pt idx="10">
                  <c:v>Programming Geeks</c:v>
                </c:pt>
                <c:pt idx="11">
                  <c:v>404 Not Found</c:v>
                </c:pt>
                <c:pt idx="12">
                  <c:v>Coders</c:v>
                </c:pt>
                <c:pt idx="13">
                  <c:v>!Procoders</c:v>
                </c:pt>
                <c:pt idx="14">
                  <c:v>Noobs</c:v>
                </c:pt>
                <c:pt idx="15">
                  <c:v>Binary Brain</c:v>
                </c:pt>
                <c:pt idx="16">
                  <c:v>Bug Busters</c:v>
                </c:pt>
                <c:pt idx="17">
                  <c:v>LMAOXD</c:v>
                </c:pt>
                <c:pt idx="18">
                  <c:v>Logic Lords</c:v>
                </c:pt>
                <c:pt idx="19">
                  <c:v>Forte</c:v>
                </c:pt>
                <c:pt idx="20">
                  <c:v>Gatesmashers</c:v>
                </c:pt>
              </c:strCache>
            </c:strRef>
          </c:cat>
          <c:val>
            <c:numRef>
              <c:f>'f1'!$B$4:$B$25</c:f>
              <c:numCache>
                <c:formatCode>General</c:formatCode>
                <c:ptCount val="21"/>
                <c:pt idx="0">
                  <c:v>6</c:v>
                </c:pt>
                <c:pt idx="1">
                  <c:v>6</c:v>
                </c:pt>
                <c:pt idx="2">
                  <c:v>4</c:v>
                </c:pt>
                <c:pt idx="3">
                  <c:v>4</c:v>
                </c:pt>
                <c:pt idx="4">
                  <c:v>2</c:v>
                </c:pt>
                <c:pt idx="5">
                  <c:v>2</c:v>
                </c:pt>
                <c:pt idx="6">
                  <c:v>2</c:v>
                </c:pt>
                <c:pt idx="7">
                  <c:v>2</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0D65-4E7D-971C-E2108C008017}"/>
            </c:ext>
          </c:extLst>
        </c:ser>
        <c:ser>
          <c:idx val="1"/>
          <c:order val="1"/>
          <c:tx>
            <c:strRef>
              <c:f>'f1'!$C$3</c:f>
              <c:strCache>
                <c:ptCount val="1"/>
                <c:pt idx="0">
                  <c:v>Question Attemped</c:v>
                </c:pt>
              </c:strCache>
            </c:strRef>
          </c:tx>
          <c:spPr>
            <a:solidFill>
              <a:schemeClr val="accent2"/>
            </a:solidFill>
            <a:ln>
              <a:noFill/>
            </a:ln>
            <a:effectLst/>
          </c:spPr>
          <c:invertIfNegative val="0"/>
          <c:cat>
            <c:strRef>
              <c:f>'f1'!$A$4:$A$25</c:f>
              <c:strCache>
                <c:ptCount val="21"/>
                <c:pt idx="0">
                  <c:v>Team Django</c:v>
                </c:pt>
                <c:pt idx="1">
                  <c:v>M_Hu7Ain</c:v>
                </c:pt>
                <c:pt idx="2">
                  <c:v>The Invincibles</c:v>
                </c:pt>
                <c:pt idx="3">
                  <c:v>Coder</c:v>
                </c:pt>
                <c:pt idx="4">
                  <c:v>Jinnah Coders</c:v>
                </c:pt>
                <c:pt idx="5">
                  <c:v>Centers United</c:v>
                </c:pt>
                <c:pt idx="6">
                  <c:v>Coders++</c:v>
                </c:pt>
                <c:pt idx="7">
                  <c:v>The Vengeance</c:v>
                </c:pt>
                <c:pt idx="8">
                  <c:v>Mehdi Syeds</c:v>
                </c:pt>
                <c:pt idx="9">
                  <c:v>Fast Walay</c:v>
                </c:pt>
                <c:pt idx="10">
                  <c:v>Programming Geeks</c:v>
                </c:pt>
                <c:pt idx="11">
                  <c:v>404 Not Found</c:v>
                </c:pt>
                <c:pt idx="12">
                  <c:v>Coders</c:v>
                </c:pt>
                <c:pt idx="13">
                  <c:v>!Procoders</c:v>
                </c:pt>
                <c:pt idx="14">
                  <c:v>Noobs</c:v>
                </c:pt>
                <c:pt idx="15">
                  <c:v>Binary Brain</c:v>
                </c:pt>
                <c:pt idx="16">
                  <c:v>Bug Busters</c:v>
                </c:pt>
                <c:pt idx="17">
                  <c:v>LMAOXD</c:v>
                </c:pt>
                <c:pt idx="18">
                  <c:v>Logic Lords</c:v>
                </c:pt>
                <c:pt idx="19">
                  <c:v>Forte</c:v>
                </c:pt>
                <c:pt idx="20">
                  <c:v>Gatesmashers</c:v>
                </c:pt>
              </c:strCache>
            </c:strRef>
          </c:cat>
          <c:val>
            <c:numRef>
              <c:f>'f1'!$C$4:$C$25</c:f>
              <c:numCache>
                <c:formatCode>General</c:formatCode>
                <c:ptCount val="21"/>
                <c:pt idx="0">
                  <c:v>4</c:v>
                </c:pt>
                <c:pt idx="1">
                  <c:v>3</c:v>
                </c:pt>
                <c:pt idx="2">
                  <c:v>3</c:v>
                </c:pt>
                <c:pt idx="3">
                  <c:v>4</c:v>
                </c:pt>
                <c:pt idx="4">
                  <c:v>2</c:v>
                </c:pt>
                <c:pt idx="5">
                  <c:v>4</c:v>
                </c:pt>
                <c:pt idx="6">
                  <c:v>2</c:v>
                </c:pt>
                <c:pt idx="7">
                  <c:v>2</c:v>
                </c:pt>
                <c:pt idx="8">
                  <c:v>1</c:v>
                </c:pt>
                <c:pt idx="9">
                  <c:v>1</c:v>
                </c:pt>
                <c:pt idx="10">
                  <c:v>1</c:v>
                </c:pt>
                <c:pt idx="11">
                  <c:v>1</c:v>
                </c:pt>
                <c:pt idx="12">
                  <c:v>1</c:v>
                </c:pt>
                <c:pt idx="13">
                  <c:v>1</c:v>
                </c:pt>
                <c:pt idx="14">
                  <c:v>2</c:v>
                </c:pt>
                <c:pt idx="15">
                  <c:v>1</c:v>
                </c:pt>
                <c:pt idx="16">
                  <c:v>2</c:v>
                </c:pt>
                <c:pt idx="17">
                  <c:v>1</c:v>
                </c:pt>
                <c:pt idx="18">
                  <c:v>1</c:v>
                </c:pt>
                <c:pt idx="19">
                  <c:v>1</c:v>
                </c:pt>
                <c:pt idx="20">
                  <c:v>2</c:v>
                </c:pt>
              </c:numCache>
            </c:numRef>
          </c:val>
          <c:extLst>
            <c:ext xmlns:c16="http://schemas.microsoft.com/office/drawing/2014/chart" uri="{C3380CC4-5D6E-409C-BE32-E72D297353CC}">
              <c16:uniqueId val="{00000001-0D65-4E7D-971C-E2108C008017}"/>
            </c:ext>
          </c:extLst>
        </c:ser>
        <c:dLbls>
          <c:showLegendKey val="0"/>
          <c:showVal val="0"/>
          <c:showCatName val="0"/>
          <c:showSerName val="0"/>
          <c:showPercent val="0"/>
          <c:showBubbleSize val="0"/>
        </c:dLbls>
        <c:gapWidth val="219"/>
        <c:overlap val="-27"/>
        <c:axId val="1554908655"/>
        <c:axId val="1554909071"/>
      </c:barChart>
      <c:catAx>
        <c:axId val="155490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09071"/>
        <c:crosses val="autoZero"/>
        <c:auto val="1"/>
        <c:lblAlgn val="ctr"/>
        <c:lblOffset val="100"/>
        <c:noMultiLvlLbl val="0"/>
      </c:catAx>
      <c:valAx>
        <c:axId val="155490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08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Each Question Attempted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barChart>
        <c:barDir val="col"/>
        <c:grouping val="clustered"/>
        <c:varyColors val="0"/>
        <c:ser>
          <c:idx val="0"/>
          <c:order val="0"/>
          <c:tx>
            <c:strRef>
              <c:f>'f2'!$B$3</c:f>
              <c:strCache>
                <c:ptCount val="1"/>
                <c:pt idx="0">
                  <c:v>No. of A attempted </c:v>
                </c:pt>
              </c:strCache>
            </c:strRef>
          </c:tx>
          <c:spPr>
            <a:solidFill>
              <a:schemeClr val="accent1"/>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'f2'!$B$4:$B$25</c:f>
              <c:numCache>
                <c:formatCode>General</c:formatCode>
                <c:ptCount val="21"/>
                <c:pt idx="0">
                  <c:v>-1</c:v>
                </c:pt>
                <c:pt idx="1">
                  <c:v>-3</c:v>
                </c:pt>
                <c:pt idx="2">
                  <c:v>-1</c:v>
                </c:pt>
                <c:pt idx="3">
                  <c:v>-2</c:v>
                </c:pt>
                <c:pt idx="4">
                  <c:v>-1</c:v>
                </c:pt>
                <c:pt idx="5">
                  <c:v>2</c:v>
                </c:pt>
                <c:pt idx="6">
                  <c:v>-1</c:v>
                </c:pt>
                <c:pt idx="7">
                  <c:v>-2</c:v>
                </c:pt>
                <c:pt idx="8">
                  <c:v>0</c:v>
                </c:pt>
                <c:pt idx="9">
                  <c:v>-3</c:v>
                </c:pt>
                <c:pt idx="10">
                  <c:v>-1</c:v>
                </c:pt>
                <c:pt idx="11">
                  <c:v>-1</c:v>
                </c:pt>
                <c:pt idx="12">
                  <c:v>0</c:v>
                </c:pt>
                <c:pt idx="13">
                  <c:v>-2</c:v>
                </c:pt>
                <c:pt idx="14">
                  <c:v>0</c:v>
                </c:pt>
                <c:pt idx="15">
                  <c:v>-2</c:v>
                </c:pt>
                <c:pt idx="16">
                  <c:v>-1</c:v>
                </c:pt>
                <c:pt idx="17">
                  <c:v>-3</c:v>
                </c:pt>
                <c:pt idx="18">
                  <c:v>1</c:v>
                </c:pt>
                <c:pt idx="19">
                  <c:v>-2</c:v>
                </c:pt>
                <c:pt idx="20">
                  <c:v>0</c:v>
                </c:pt>
              </c:numCache>
            </c:numRef>
          </c:val>
          <c:extLst>
            <c:ext xmlns:c16="http://schemas.microsoft.com/office/drawing/2014/chart" uri="{C3380CC4-5D6E-409C-BE32-E72D297353CC}">
              <c16:uniqueId val="{00000006-031B-45C3-84B2-3F7C6F1048EB}"/>
            </c:ext>
          </c:extLst>
        </c:ser>
        <c:ser>
          <c:idx val="1"/>
          <c:order val="1"/>
          <c:tx>
            <c:strRef>
              <c:f>'f2'!$C$3</c:f>
              <c:strCache>
                <c:ptCount val="1"/>
                <c:pt idx="0">
                  <c:v>No. of B attempted</c:v>
                </c:pt>
              </c:strCache>
            </c:strRef>
          </c:tx>
          <c:spPr>
            <a:solidFill>
              <a:schemeClr val="accent2"/>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'f2'!$C$4:$C$25</c:f>
              <c:numCache>
                <c:formatCode>General</c:formatCode>
                <c:ptCount val="21"/>
                <c:pt idx="0">
                  <c:v>0</c:v>
                </c:pt>
                <c:pt idx="1">
                  <c:v>0</c:v>
                </c:pt>
                <c:pt idx="2">
                  <c:v>0</c:v>
                </c:pt>
                <c:pt idx="3">
                  <c:v>-2</c:v>
                </c:pt>
                <c:pt idx="4">
                  <c:v>-1</c:v>
                </c:pt>
                <c:pt idx="5">
                  <c:v>-4</c:v>
                </c:pt>
                <c:pt idx="6">
                  <c:v>0</c:v>
                </c:pt>
                <c:pt idx="7">
                  <c:v>0</c:v>
                </c:pt>
                <c:pt idx="8">
                  <c:v>0</c:v>
                </c:pt>
                <c:pt idx="9">
                  <c:v>0</c:v>
                </c:pt>
                <c:pt idx="10">
                  <c:v>0</c:v>
                </c:pt>
                <c:pt idx="11">
                  <c:v>0</c:v>
                </c:pt>
                <c:pt idx="12">
                  <c:v>-1</c:v>
                </c:pt>
                <c:pt idx="13">
                  <c:v>0</c:v>
                </c:pt>
                <c:pt idx="14">
                  <c:v>1</c:v>
                </c:pt>
                <c:pt idx="15">
                  <c:v>0</c:v>
                </c:pt>
                <c:pt idx="16">
                  <c:v>0</c:v>
                </c:pt>
                <c:pt idx="17">
                  <c:v>0</c:v>
                </c:pt>
                <c:pt idx="18">
                  <c:v>0</c:v>
                </c:pt>
                <c:pt idx="19">
                  <c:v>0</c:v>
                </c:pt>
                <c:pt idx="20">
                  <c:v>0</c:v>
                </c:pt>
              </c:numCache>
            </c:numRef>
          </c:val>
          <c:extLst>
            <c:ext xmlns:c16="http://schemas.microsoft.com/office/drawing/2014/chart" uri="{C3380CC4-5D6E-409C-BE32-E72D297353CC}">
              <c16:uniqueId val="{00000007-031B-45C3-84B2-3F7C6F1048EB}"/>
            </c:ext>
          </c:extLst>
        </c:ser>
        <c:ser>
          <c:idx val="2"/>
          <c:order val="2"/>
          <c:tx>
            <c:strRef>
              <c:f>'f2'!$D$3</c:f>
              <c:strCache>
                <c:ptCount val="1"/>
                <c:pt idx="0">
                  <c:v>No. of C attempted</c:v>
                </c:pt>
              </c:strCache>
            </c:strRef>
          </c:tx>
          <c:spPr>
            <a:solidFill>
              <a:schemeClr val="accent3"/>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'f2'!$D$4:$D$25</c:f>
              <c:numCache>
                <c:formatCode>General</c:formatCode>
                <c:ptCount val="21"/>
                <c:pt idx="0">
                  <c:v>0</c:v>
                </c:pt>
                <c:pt idx="1">
                  <c:v>0</c:v>
                </c:pt>
                <c:pt idx="2">
                  <c:v>0</c:v>
                </c:pt>
                <c:pt idx="3">
                  <c:v>0</c:v>
                </c:pt>
                <c:pt idx="4">
                  <c:v>-1</c:v>
                </c:pt>
                <c:pt idx="5">
                  <c:v>-2</c:v>
                </c:pt>
                <c:pt idx="6">
                  <c:v>0</c:v>
                </c:pt>
                <c:pt idx="7">
                  <c:v>0</c:v>
                </c:pt>
                <c:pt idx="8">
                  <c:v>-4</c:v>
                </c:pt>
                <c:pt idx="9">
                  <c:v>0</c:v>
                </c:pt>
                <c:pt idx="10">
                  <c:v>-1</c:v>
                </c:pt>
                <c:pt idx="11">
                  <c:v>0</c:v>
                </c:pt>
                <c:pt idx="12">
                  <c:v>0</c:v>
                </c:pt>
                <c:pt idx="13">
                  <c:v>0</c:v>
                </c:pt>
                <c:pt idx="14">
                  <c:v>2</c:v>
                </c:pt>
                <c:pt idx="15">
                  <c:v>0</c:v>
                </c:pt>
                <c:pt idx="16">
                  <c:v>-1</c:v>
                </c:pt>
                <c:pt idx="17">
                  <c:v>0</c:v>
                </c:pt>
                <c:pt idx="18">
                  <c:v>2</c:v>
                </c:pt>
                <c:pt idx="19">
                  <c:v>1</c:v>
                </c:pt>
                <c:pt idx="20">
                  <c:v>-3</c:v>
                </c:pt>
              </c:numCache>
            </c:numRef>
          </c:val>
          <c:extLst>
            <c:ext xmlns:c16="http://schemas.microsoft.com/office/drawing/2014/chart" uri="{C3380CC4-5D6E-409C-BE32-E72D297353CC}">
              <c16:uniqueId val="{00000008-031B-45C3-84B2-3F7C6F1048EB}"/>
            </c:ext>
          </c:extLst>
        </c:ser>
        <c:ser>
          <c:idx val="3"/>
          <c:order val="3"/>
          <c:tx>
            <c:strRef>
              <c:f>'f2'!$E$3</c:f>
              <c:strCache>
                <c:ptCount val="1"/>
                <c:pt idx="0">
                  <c:v>No. of D attempted</c:v>
                </c:pt>
              </c:strCache>
            </c:strRef>
          </c:tx>
          <c:spPr>
            <a:solidFill>
              <a:schemeClr val="accent4"/>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'f2'!$E$4:$E$25</c:f>
              <c:numCache>
                <c:formatCode>General</c:formatCode>
                <c:ptCount val="21"/>
                <c:pt idx="0">
                  <c:v>0</c:v>
                </c:pt>
                <c:pt idx="1">
                  <c:v>0</c:v>
                </c:pt>
                <c:pt idx="2">
                  <c:v>0</c:v>
                </c:pt>
                <c:pt idx="3">
                  <c:v>0</c:v>
                </c:pt>
                <c:pt idx="4">
                  <c:v>2</c:v>
                </c:pt>
                <c:pt idx="5">
                  <c:v>2</c:v>
                </c:pt>
                <c:pt idx="6">
                  <c:v>0</c:v>
                </c:pt>
                <c:pt idx="7">
                  <c:v>2</c:v>
                </c:pt>
                <c:pt idx="8">
                  <c:v>0</c:v>
                </c:pt>
                <c:pt idx="9">
                  <c:v>0</c:v>
                </c:pt>
                <c:pt idx="10">
                  <c:v>0</c:v>
                </c:pt>
                <c:pt idx="11">
                  <c:v>2</c:v>
                </c:pt>
                <c:pt idx="12">
                  <c:v>0</c:v>
                </c:pt>
                <c:pt idx="13">
                  <c:v>0</c:v>
                </c:pt>
                <c:pt idx="14">
                  <c:v>2</c:v>
                </c:pt>
                <c:pt idx="15">
                  <c:v>0</c:v>
                </c:pt>
                <c:pt idx="16">
                  <c:v>0</c:v>
                </c:pt>
                <c:pt idx="17">
                  <c:v>0</c:v>
                </c:pt>
                <c:pt idx="18">
                  <c:v>2</c:v>
                </c:pt>
                <c:pt idx="19">
                  <c:v>2</c:v>
                </c:pt>
                <c:pt idx="20">
                  <c:v>2</c:v>
                </c:pt>
              </c:numCache>
            </c:numRef>
          </c:val>
          <c:extLst>
            <c:ext xmlns:c16="http://schemas.microsoft.com/office/drawing/2014/chart" uri="{C3380CC4-5D6E-409C-BE32-E72D297353CC}">
              <c16:uniqueId val="{00000009-031B-45C3-84B2-3F7C6F1048EB}"/>
            </c:ext>
          </c:extLst>
        </c:ser>
        <c:ser>
          <c:idx val="4"/>
          <c:order val="4"/>
          <c:tx>
            <c:strRef>
              <c:f>'f2'!$F$3</c:f>
              <c:strCache>
                <c:ptCount val="1"/>
                <c:pt idx="0">
                  <c:v>No. of E attempted</c:v>
                </c:pt>
              </c:strCache>
            </c:strRef>
          </c:tx>
          <c:spPr>
            <a:solidFill>
              <a:schemeClr val="accent5"/>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'f2'!$F$4:$F$25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c:v>
                </c:pt>
                <c:pt idx="19">
                  <c:v>0</c:v>
                </c:pt>
                <c:pt idx="20">
                  <c:v>0</c:v>
                </c:pt>
              </c:numCache>
            </c:numRef>
          </c:val>
          <c:extLst>
            <c:ext xmlns:c16="http://schemas.microsoft.com/office/drawing/2014/chart" uri="{C3380CC4-5D6E-409C-BE32-E72D297353CC}">
              <c16:uniqueId val="{0000000A-031B-45C3-84B2-3F7C6F1048EB}"/>
            </c:ext>
          </c:extLst>
        </c:ser>
        <c:ser>
          <c:idx val="5"/>
          <c:order val="5"/>
          <c:tx>
            <c:strRef>
              <c:f>'f2'!$G$3</c:f>
              <c:strCache>
                <c:ptCount val="1"/>
                <c:pt idx="0">
                  <c:v>No. of F attempted</c:v>
                </c:pt>
              </c:strCache>
            </c:strRef>
          </c:tx>
          <c:spPr>
            <a:solidFill>
              <a:schemeClr val="accent6"/>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'f2'!$G$4:$G$25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031B-45C3-84B2-3F7C6F1048EB}"/>
            </c:ext>
          </c:extLst>
        </c:ser>
        <c:dLbls>
          <c:showLegendKey val="0"/>
          <c:showVal val="0"/>
          <c:showCatName val="0"/>
          <c:showSerName val="0"/>
          <c:showPercent val="0"/>
          <c:showBubbleSize val="0"/>
        </c:dLbls>
        <c:gapWidth val="219"/>
        <c:overlap val="-27"/>
        <c:axId val="1467057711"/>
        <c:axId val="1467054383"/>
      </c:barChart>
      <c:catAx>
        <c:axId val="14670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54383"/>
        <c:crosses val="autoZero"/>
        <c:auto val="1"/>
        <c:lblAlgn val="ctr"/>
        <c:lblOffset val="100"/>
        <c:noMultiLvlLbl val="0"/>
      </c:catAx>
      <c:valAx>
        <c:axId val="146705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57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analysis.xlsx]f3!PivotTable22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Penalty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'f3'!$B$3</c:f>
              <c:strCache>
                <c:ptCount val="1"/>
                <c:pt idx="0">
                  <c:v>Total</c:v>
                </c:pt>
              </c:strCache>
            </c:strRef>
          </c:tx>
          <c:spPr>
            <a:solidFill>
              <a:schemeClr val="accent1"/>
            </a:solidFill>
            <a:ln>
              <a:noFill/>
            </a:ln>
            <a:effectLst/>
          </c:spPr>
          <c:invertIfNegative val="0"/>
          <c:cat>
            <c:strRef>
              <c:f>'f3'!$A$4:$A$25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'f3'!$B$4:$B$25</c:f>
              <c:numCache>
                <c:formatCode>[h]:mm:ss</c:formatCode>
                <c:ptCount val="21"/>
                <c:pt idx="0">
                  <c:v>0</c:v>
                </c:pt>
                <c:pt idx="1">
                  <c:v>0</c:v>
                </c:pt>
                <c:pt idx="2">
                  <c:v>0</c:v>
                </c:pt>
                <c:pt idx="3">
                  <c:v>0</c:v>
                </c:pt>
                <c:pt idx="4">
                  <c:v>22.537800925925925</c:v>
                </c:pt>
                <c:pt idx="5">
                  <c:v>29.215740740740742</c:v>
                </c:pt>
                <c:pt idx="6">
                  <c:v>0</c:v>
                </c:pt>
                <c:pt idx="7">
                  <c:v>22.120439814814816</c:v>
                </c:pt>
                <c:pt idx="8">
                  <c:v>0</c:v>
                </c:pt>
                <c:pt idx="9">
                  <c:v>0</c:v>
                </c:pt>
                <c:pt idx="10">
                  <c:v>0</c:v>
                </c:pt>
                <c:pt idx="11">
                  <c:v>9.1824074074074069</c:v>
                </c:pt>
                <c:pt idx="12">
                  <c:v>0</c:v>
                </c:pt>
                <c:pt idx="13">
                  <c:v>0</c:v>
                </c:pt>
                <c:pt idx="14">
                  <c:v>70.116863425925928</c:v>
                </c:pt>
                <c:pt idx="15">
                  <c:v>0</c:v>
                </c:pt>
                <c:pt idx="16">
                  <c:v>0</c:v>
                </c:pt>
                <c:pt idx="17">
                  <c:v>0</c:v>
                </c:pt>
                <c:pt idx="18">
                  <c:v>34.22429398148148</c:v>
                </c:pt>
                <c:pt idx="19">
                  <c:v>27.546168981481483</c:v>
                </c:pt>
                <c:pt idx="20">
                  <c:v>20.033622685185186</c:v>
                </c:pt>
              </c:numCache>
            </c:numRef>
          </c:val>
          <c:extLst>
            <c:ext xmlns:c16="http://schemas.microsoft.com/office/drawing/2014/chart" uri="{C3380CC4-5D6E-409C-BE32-E72D297353CC}">
              <c16:uniqueId val="{00000000-C384-4D84-BBCD-2A6518768283}"/>
            </c:ext>
          </c:extLst>
        </c:ser>
        <c:dLbls>
          <c:showLegendKey val="0"/>
          <c:showVal val="0"/>
          <c:showCatName val="0"/>
          <c:showSerName val="0"/>
          <c:showPercent val="0"/>
          <c:showBubbleSize val="0"/>
        </c:dLbls>
        <c:gapWidth val="182"/>
        <c:axId val="1325110975"/>
        <c:axId val="1325114303"/>
      </c:barChart>
      <c:catAx>
        <c:axId val="13251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4303"/>
        <c:crossesAt val="0"/>
        <c:auto val="1"/>
        <c:lblAlgn val="ctr"/>
        <c:lblOffset val="100"/>
        <c:noMultiLvlLbl val="0"/>
      </c:catAx>
      <c:valAx>
        <c:axId val="1325114303"/>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0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analysis.xlsx]Final_Insights!PivotTable20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Final_Insights!$B$26</c:f>
              <c:strCache>
                <c:ptCount val="1"/>
                <c:pt idx="0">
                  <c:v>Sum of Avg Time of solution</c:v>
                </c:pt>
              </c:strCache>
            </c:strRef>
          </c:tx>
          <c:spPr>
            <a:solidFill>
              <a:schemeClr val="accent1"/>
            </a:solidFill>
            <a:ln>
              <a:noFill/>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Final_Insights!$B$27:$B$33</c:f>
              <c:numCache>
                <c:formatCode>[mm]:ss</c:formatCode>
                <c:ptCount val="6"/>
                <c:pt idx="0">
                  <c:v>1.383101851851852E-2</c:v>
                </c:pt>
                <c:pt idx="1">
                  <c:v>3.3402777777777774E-2</c:v>
                </c:pt>
                <c:pt idx="2">
                  <c:v>2.388888888888889E-2</c:v>
                </c:pt>
                <c:pt idx="3">
                  <c:v>2.9189814814814811E-2</c:v>
                </c:pt>
                <c:pt idx="4">
                  <c:v>0</c:v>
                </c:pt>
                <c:pt idx="5">
                  <c:v>0</c:v>
                </c:pt>
              </c:numCache>
            </c:numRef>
          </c:val>
          <c:extLst>
            <c:ext xmlns:c16="http://schemas.microsoft.com/office/drawing/2014/chart" uri="{C3380CC4-5D6E-409C-BE32-E72D297353CC}">
              <c16:uniqueId val="{00000000-60F5-4F42-86B2-332711BC3EB5}"/>
            </c:ext>
          </c:extLst>
        </c:ser>
        <c:ser>
          <c:idx val="1"/>
          <c:order val="1"/>
          <c:tx>
            <c:strRef>
              <c:f>Final_Insights!$C$26</c:f>
              <c:strCache>
                <c:ptCount val="1"/>
                <c:pt idx="0">
                  <c:v>Sum of Minimum Time</c:v>
                </c:pt>
              </c:strCache>
            </c:strRef>
          </c:tx>
          <c:spPr>
            <a:solidFill>
              <a:schemeClr val="accent2"/>
            </a:solidFill>
            <a:ln>
              <a:noFill/>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Final_Insights!$C$27:$C$33</c:f>
              <c:numCache>
                <c:formatCode>[mm]:ss</c:formatCode>
                <c:ptCount val="6"/>
                <c:pt idx="0">
                  <c:v>1.2418981481481482E-2</c:v>
                </c:pt>
                <c:pt idx="1">
                  <c:v>3.3402777777777774E-2</c:v>
                </c:pt>
                <c:pt idx="2">
                  <c:v>1.6180555555555556E-2</c:v>
                </c:pt>
                <c:pt idx="3">
                  <c:v>6.3773148148148148E-3</c:v>
                </c:pt>
                <c:pt idx="4">
                  <c:v>0</c:v>
                </c:pt>
                <c:pt idx="5">
                  <c:v>0</c:v>
                </c:pt>
              </c:numCache>
            </c:numRef>
          </c:val>
          <c:extLst>
            <c:ext xmlns:c16="http://schemas.microsoft.com/office/drawing/2014/chart" uri="{C3380CC4-5D6E-409C-BE32-E72D297353CC}">
              <c16:uniqueId val="{00000001-60F5-4F42-86B2-332711BC3EB5}"/>
            </c:ext>
          </c:extLst>
        </c:ser>
        <c:ser>
          <c:idx val="2"/>
          <c:order val="2"/>
          <c:tx>
            <c:strRef>
              <c:f>Final_Insights!$D$26</c:f>
              <c:strCache>
                <c:ptCount val="1"/>
                <c:pt idx="0">
                  <c:v>Sum of Maximum Time</c:v>
                </c:pt>
              </c:strCache>
            </c:strRef>
          </c:tx>
          <c:spPr>
            <a:solidFill>
              <a:schemeClr val="accent3"/>
            </a:solidFill>
            <a:ln>
              <a:noFill/>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Final_Insights!$D$27:$D$33</c:f>
              <c:numCache>
                <c:formatCode>[mm]:ss</c:formatCode>
                <c:ptCount val="6"/>
                <c:pt idx="0">
                  <c:v>1.5243055555555557E-2</c:v>
                </c:pt>
                <c:pt idx="1">
                  <c:v>3.3402777777777774E-2</c:v>
                </c:pt>
                <c:pt idx="2">
                  <c:v>3.0532407407407411E-2</c:v>
                </c:pt>
                <c:pt idx="3">
                  <c:v>3.9039351851851853E-2</c:v>
                </c:pt>
                <c:pt idx="4">
                  <c:v>0</c:v>
                </c:pt>
                <c:pt idx="5">
                  <c:v>0</c:v>
                </c:pt>
              </c:numCache>
            </c:numRef>
          </c:val>
          <c:extLst>
            <c:ext xmlns:c16="http://schemas.microsoft.com/office/drawing/2014/chart" uri="{C3380CC4-5D6E-409C-BE32-E72D297353CC}">
              <c16:uniqueId val="{00000002-60F5-4F42-86B2-332711BC3EB5}"/>
            </c:ext>
          </c:extLst>
        </c:ser>
        <c:dLbls>
          <c:showLegendKey val="0"/>
          <c:showVal val="0"/>
          <c:showCatName val="0"/>
          <c:showSerName val="0"/>
          <c:showPercent val="0"/>
          <c:showBubbleSize val="0"/>
        </c:dLbls>
        <c:gapWidth val="219"/>
        <c:overlap val="-27"/>
        <c:axId val="1553592399"/>
        <c:axId val="1553596143"/>
      </c:barChart>
      <c:catAx>
        <c:axId val="155359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6143"/>
        <c:crosses val="autoZero"/>
        <c:auto val="1"/>
        <c:lblAlgn val="ctr"/>
        <c:lblOffset val="100"/>
        <c:noMultiLvlLbl val="0"/>
      </c:catAx>
      <c:valAx>
        <c:axId val="1553596143"/>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analysis.xlsx]f2!PivotTable13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Each Question Attempted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s>
    <c:plotArea>
      <c:layout/>
      <c:barChart>
        <c:barDir val="col"/>
        <c:grouping val="clustered"/>
        <c:varyColors val="0"/>
        <c:ser>
          <c:idx val="0"/>
          <c:order val="0"/>
          <c:tx>
            <c:strRef>
              <c:f>'f2'!$B$3</c:f>
              <c:strCache>
                <c:ptCount val="1"/>
                <c:pt idx="0">
                  <c:v>No. of A attempted </c:v>
                </c:pt>
              </c:strCache>
            </c:strRef>
          </c:tx>
          <c:spPr>
            <a:solidFill>
              <a:schemeClr val="accent1"/>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'f2'!$B$4:$B$25</c:f>
              <c:numCache>
                <c:formatCode>General</c:formatCode>
                <c:ptCount val="21"/>
                <c:pt idx="0">
                  <c:v>-1</c:v>
                </c:pt>
                <c:pt idx="1">
                  <c:v>-3</c:v>
                </c:pt>
                <c:pt idx="2">
                  <c:v>-1</c:v>
                </c:pt>
                <c:pt idx="3">
                  <c:v>-2</c:v>
                </c:pt>
                <c:pt idx="4">
                  <c:v>-1</c:v>
                </c:pt>
                <c:pt idx="5">
                  <c:v>2</c:v>
                </c:pt>
                <c:pt idx="6">
                  <c:v>-1</c:v>
                </c:pt>
                <c:pt idx="7">
                  <c:v>-2</c:v>
                </c:pt>
                <c:pt idx="8">
                  <c:v>0</c:v>
                </c:pt>
                <c:pt idx="9">
                  <c:v>-3</c:v>
                </c:pt>
                <c:pt idx="10">
                  <c:v>-1</c:v>
                </c:pt>
                <c:pt idx="11">
                  <c:v>-1</c:v>
                </c:pt>
                <c:pt idx="12">
                  <c:v>0</c:v>
                </c:pt>
                <c:pt idx="13">
                  <c:v>-2</c:v>
                </c:pt>
                <c:pt idx="14">
                  <c:v>0</c:v>
                </c:pt>
                <c:pt idx="15">
                  <c:v>-2</c:v>
                </c:pt>
                <c:pt idx="16">
                  <c:v>-1</c:v>
                </c:pt>
                <c:pt idx="17">
                  <c:v>-3</c:v>
                </c:pt>
                <c:pt idx="18">
                  <c:v>1</c:v>
                </c:pt>
                <c:pt idx="19">
                  <c:v>-2</c:v>
                </c:pt>
                <c:pt idx="20">
                  <c:v>0</c:v>
                </c:pt>
              </c:numCache>
            </c:numRef>
          </c:val>
          <c:extLst>
            <c:ext xmlns:c16="http://schemas.microsoft.com/office/drawing/2014/chart" uri="{C3380CC4-5D6E-409C-BE32-E72D297353CC}">
              <c16:uniqueId val="{00000006-FFCA-4783-BF2C-9FA7F1CA166B}"/>
            </c:ext>
          </c:extLst>
        </c:ser>
        <c:ser>
          <c:idx val="1"/>
          <c:order val="1"/>
          <c:tx>
            <c:strRef>
              <c:f>'f2'!$C$3</c:f>
              <c:strCache>
                <c:ptCount val="1"/>
                <c:pt idx="0">
                  <c:v>No. of B attempted</c:v>
                </c:pt>
              </c:strCache>
            </c:strRef>
          </c:tx>
          <c:spPr>
            <a:solidFill>
              <a:schemeClr val="accent2"/>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'f2'!$C$4:$C$25</c:f>
              <c:numCache>
                <c:formatCode>General</c:formatCode>
                <c:ptCount val="21"/>
                <c:pt idx="0">
                  <c:v>0</c:v>
                </c:pt>
                <c:pt idx="1">
                  <c:v>0</c:v>
                </c:pt>
                <c:pt idx="2">
                  <c:v>0</c:v>
                </c:pt>
                <c:pt idx="3">
                  <c:v>-2</c:v>
                </c:pt>
                <c:pt idx="4">
                  <c:v>-1</c:v>
                </c:pt>
                <c:pt idx="5">
                  <c:v>-4</c:v>
                </c:pt>
                <c:pt idx="6">
                  <c:v>0</c:v>
                </c:pt>
                <c:pt idx="7">
                  <c:v>0</c:v>
                </c:pt>
                <c:pt idx="8">
                  <c:v>0</c:v>
                </c:pt>
                <c:pt idx="9">
                  <c:v>0</c:v>
                </c:pt>
                <c:pt idx="10">
                  <c:v>0</c:v>
                </c:pt>
                <c:pt idx="11">
                  <c:v>0</c:v>
                </c:pt>
                <c:pt idx="12">
                  <c:v>-1</c:v>
                </c:pt>
                <c:pt idx="13">
                  <c:v>0</c:v>
                </c:pt>
                <c:pt idx="14">
                  <c:v>1</c:v>
                </c:pt>
                <c:pt idx="15">
                  <c:v>0</c:v>
                </c:pt>
                <c:pt idx="16">
                  <c:v>0</c:v>
                </c:pt>
                <c:pt idx="17">
                  <c:v>0</c:v>
                </c:pt>
                <c:pt idx="18">
                  <c:v>0</c:v>
                </c:pt>
                <c:pt idx="19">
                  <c:v>0</c:v>
                </c:pt>
                <c:pt idx="20">
                  <c:v>0</c:v>
                </c:pt>
              </c:numCache>
            </c:numRef>
          </c:val>
          <c:extLst>
            <c:ext xmlns:c16="http://schemas.microsoft.com/office/drawing/2014/chart" uri="{C3380CC4-5D6E-409C-BE32-E72D297353CC}">
              <c16:uniqueId val="{00000007-FFCA-4783-BF2C-9FA7F1CA166B}"/>
            </c:ext>
          </c:extLst>
        </c:ser>
        <c:ser>
          <c:idx val="2"/>
          <c:order val="2"/>
          <c:tx>
            <c:strRef>
              <c:f>'f2'!$D$3</c:f>
              <c:strCache>
                <c:ptCount val="1"/>
                <c:pt idx="0">
                  <c:v>No. of C attempted</c:v>
                </c:pt>
              </c:strCache>
            </c:strRef>
          </c:tx>
          <c:spPr>
            <a:solidFill>
              <a:schemeClr val="accent3"/>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'f2'!$D$4:$D$25</c:f>
              <c:numCache>
                <c:formatCode>General</c:formatCode>
                <c:ptCount val="21"/>
                <c:pt idx="0">
                  <c:v>0</c:v>
                </c:pt>
                <c:pt idx="1">
                  <c:v>0</c:v>
                </c:pt>
                <c:pt idx="2">
                  <c:v>0</c:v>
                </c:pt>
                <c:pt idx="3">
                  <c:v>0</c:v>
                </c:pt>
                <c:pt idx="4">
                  <c:v>-1</c:v>
                </c:pt>
                <c:pt idx="5">
                  <c:v>-2</c:v>
                </c:pt>
                <c:pt idx="6">
                  <c:v>0</c:v>
                </c:pt>
                <c:pt idx="7">
                  <c:v>0</c:v>
                </c:pt>
                <c:pt idx="8">
                  <c:v>-4</c:v>
                </c:pt>
                <c:pt idx="9">
                  <c:v>0</c:v>
                </c:pt>
                <c:pt idx="10">
                  <c:v>-1</c:v>
                </c:pt>
                <c:pt idx="11">
                  <c:v>0</c:v>
                </c:pt>
                <c:pt idx="12">
                  <c:v>0</c:v>
                </c:pt>
                <c:pt idx="13">
                  <c:v>0</c:v>
                </c:pt>
                <c:pt idx="14">
                  <c:v>2</c:v>
                </c:pt>
                <c:pt idx="15">
                  <c:v>0</c:v>
                </c:pt>
                <c:pt idx="16">
                  <c:v>-1</c:v>
                </c:pt>
                <c:pt idx="17">
                  <c:v>0</c:v>
                </c:pt>
                <c:pt idx="18">
                  <c:v>2</c:v>
                </c:pt>
                <c:pt idx="19">
                  <c:v>1</c:v>
                </c:pt>
                <c:pt idx="20">
                  <c:v>-3</c:v>
                </c:pt>
              </c:numCache>
            </c:numRef>
          </c:val>
          <c:extLst>
            <c:ext xmlns:c16="http://schemas.microsoft.com/office/drawing/2014/chart" uri="{C3380CC4-5D6E-409C-BE32-E72D297353CC}">
              <c16:uniqueId val="{00000008-FFCA-4783-BF2C-9FA7F1CA166B}"/>
            </c:ext>
          </c:extLst>
        </c:ser>
        <c:ser>
          <c:idx val="3"/>
          <c:order val="3"/>
          <c:tx>
            <c:strRef>
              <c:f>'f2'!$E$3</c:f>
              <c:strCache>
                <c:ptCount val="1"/>
                <c:pt idx="0">
                  <c:v>No. of D attempted</c:v>
                </c:pt>
              </c:strCache>
            </c:strRef>
          </c:tx>
          <c:spPr>
            <a:solidFill>
              <a:schemeClr val="accent4"/>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'f2'!$E$4:$E$25</c:f>
              <c:numCache>
                <c:formatCode>General</c:formatCode>
                <c:ptCount val="21"/>
                <c:pt idx="0">
                  <c:v>0</c:v>
                </c:pt>
                <c:pt idx="1">
                  <c:v>0</c:v>
                </c:pt>
                <c:pt idx="2">
                  <c:v>0</c:v>
                </c:pt>
                <c:pt idx="3">
                  <c:v>0</c:v>
                </c:pt>
                <c:pt idx="4">
                  <c:v>2</c:v>
                </c:pt>
                <c:pt idx="5">
                  <c:v>2</c:v>
                </c:pt>
                <c:pt idx="6">
                  <c:v>0</c:v>
                </c:pt>
                <c:pt idx="7">
                  <c:v>2</c:v>
                </c:pt>
                <c:pt idx="8">
                  <c:v>0</c:v>
                </c:pt>
                <c:pt idx="9">
                  <c:v>0</c:v>
                </c:pt>
                <c:pt idx="10">
                  <c:v>0</c:v>
                </c:pt>
                <c:pt idx="11">
                  <c:v>2</c:v>
                </c:pt>
                <c:pt idx="12">
                  <c:v>0</c:v>
                </c:pt>
                <c:pt idx="13">
                  <c:v>0</c:v>
                </c:pt>
                <c:pt idx="14">
                  <c:v>2</c:v>
                </c:pt>
                <c:pt idx="15">
                  <c:v>0</c:v>
                </c:pt>
                <c:pt idx="16">
                  <c:v>0</c:v>
                </c:pt>
                <c:pt idx="17">
                  <c:v>0</c:v>
                </c:pt>
                <c:pt idx="18">
                  <c:v>2</c:v>
                </c:pt>
                <c:pt idx="19">
                  <c:v>2</c:v>
                </c:pt>
                <c:pt idx="20">
                  <c:v>2</c:v>
                </c:pt>
              </c:numCache>
            </c:numRef>
          </c:val>
          <c:extLst>
            <c:ext xmlns:c16="http://schemas.microsoft.com/office/drawing/2014/chart" uri="{C3380CC4-5D6E-409C-BE32-E72D297353CC}">
              <c16:uniqueId val="{00000009-FFCA-4783-BF2C-9FA7F1CA166B}"/>
            </c:ext>
          </c:extLst>
        </c:ser>
        <c:ser>
          <c:idx val="4"/>
          <c:order val="4"/>
          <c:tx>
            <c:strRef>
              <c:f>'f2'!$F$3</c:f>
              <c:strCache>
                <c:ptCount val="1"/>
                <c:pt idx="0">
                  <c:v>No. of E attempted</c:v>
                </c:pt>
              </c:strCache>
            </c:strRef>
          </c:tx>
          <c:spPr>
            <a:solidFill>
              <a:schemeClr val="accent5"/>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'f2'!$F$4:$F$25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c:v>
                </c:pt>
                <c:pt idx="19">
                  <c:v>0</c:v>
                </c:pt>
                <c:pt idx="20">
                  <c:v>0</c:v>
                </c:pt>
              </c:numCache>
            </c:numRef>
          </c:val>
          <c:extLst>
            <c:ext xmlns:c16="http://schemas.microsoft.com/office/drawing/2014/chart" uri="{C3380CC4-5D6E-409C-BE32-E72D297353CC}">
              <c16:uniqueId val="{0000000A-FFCA-4783-BF2C-9FA7F1CA166B}"/>
            </c:ext>
          </c:extLst>
        </c:ser>
        <c:ser>
          <c:idx val="5"/>
          <c:order val="5"/>
          <c:tx>
            <c:strRef>
              <c:f>'f2'!$G$3</c:f>
              <c:strCache>
                <c:ptCount val="1"/>
                <c:pt idx="0">
                  <c:v>No. of F attempted</c:v>
                </c:pt>
              </c:strCache>
            </c:strRef>
          </c:tx>
          <c:spPr>
            <a:solidFill>
              <a:schemeClr val="accent6"/>
            </a:solidFill>
            <a:ln>
              <a:noFill/>
            </a:ln>
            <a:effectLst/>
          </c:spPr>
          <c:invertIfNegative val="0"/>
          <c:cat>
            <c:strRef>
              <c:f>'f2'!$A$4:$A$25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'f2'!$G$4:$G$25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FFCA-4783-BF2C-9FA7F1CA166B}"/>
            </c:ext>
          </c:extLst>
        </c:ser>
        <c:dLbls>
          <c:showLegendKey val="0"/>
          <c:showVal val="0"/>
          <c:showCatName val="0"/>
          <c:showSerName val="0"/>
          <c:showPercent val="0"/>
          <c:showBubbleSize val="0"/>
        </c:dLbls>
        <c:gapWidth val="219"/>
        <c:overlap val="-27"/>
        <c:axId val="1467057711"/>
        <c:axId val="1467054383"/>
      </c:barChart>
      <c:dateAx>
        <c:axId val="14670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54383"/>
        <c:crosses val="autoZero"/>
        <c:auto val="0"/>
        <c:lblOffset val="500"/>
        <c:baseTimeUnit val="days"/>
      </c:dateAx>
      <c:valAx>
        <c:axId val="146705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5771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analysis.xlsx]f1!PivotTable1</c:name>
    <c:fmtId val="4"/>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'f1'!$B$3</c:f>
              <c:strCache>
                <c:ptCount val="1"/>
                <c:pt idx="0">
                  <c:v>Total Score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'f1'!$A$4:$A$25</c:f>
              <c:strCache>
                <c:ptCount val="21"/>
                <c:pt idx="0">
                  <c:v>Team Django</c:v>
                </c:pt>
                <c:pt idx="1">
                  <c:v>M_Hu7Ain</c:v>
                </c:pt>
                <c:pt idx="2">
                  <c:v>The Invincibles</c:v>
                </c:pt>
                <c:pt idx="3">
                  <c:v>Coder</c:v>
                </c:pt>
                <c:pt idx="4">
                  <c:v>Jinnah Coders</c:v>
                </c:pt>
                <c:pt idx="5">
                  <c:v>Centers United</c:v>
                </c:pt>
                <c:pt idx="6">
                  <c:v>Coders++</c:v>
                </c:pt>
                <c:pt idx="7">
                  <c:v>The Vengeance</c:v>
                </c:pt>
                <c:pt idx="8">
                  <c:v>Mehdi Syeds</c:v>
                </c:pt>
                <c:pt idx="9">
                  <c:v>Fast Walay</c:v>
                </c:pt>
                <c:pt idx="10">
                  <c:v>Programming Geeks</c:v>
                </c:pt>
                <c:pt idx="11">
                  <c:v>404 Not Found</c:v>
                </c:pt>
                <c:pt idx="12">
                  <c:v>Coders</c:v>
                </c:pt>
                <c:pt idx="13">
                  <c:v>!Procoders</c:v>
                </c:pt>
                <c:pt idx="14">
                  <c:v>Noobs</c:v>
                </c:pt>
                <c:pt idx="15">
                  <c:v>Binary Brain</c:v>
                </c:pt>
                <c:pt idx="16">
                  <c:v>Bug Busters</c:v>
                </c:pt>
                <c:pt idx="17">
                  <c:v>LMAOXD</c:v>
                </c:pt>
                <c:pt idx="18">
                  <c:v>Logic Lords</c:v>
                </c:pt>
                <c:pt idx="19">
                  <c:v>Forte</c:v>
                </c:pt>
                <c:pt idx="20">
                  <c:v>Gatesmashers</c:v>
                </c:pt>
              </c:strCache>
            </c:strRef>
          </c:cat>
          <c:val>
            <c:numRef>
              <c:f>'f1'!$B$4:$B$25</c:f>
              <c:numCache>
                <c:formatCode>General</c:formatCode>
                <c:ptCount val="21"/>
                <c:pt idx="0">
                  <c:v>6</c:v>
                </c:pt>
                <c:pt idx="1">
                  <c:v>6</c:v>
                </c:pt>
                <c:pt idx="2">
                  <c:v>4</c:v>
                </c:pt>
                <c:pt idx="3">
                  <c:v>4</c:v>
                </c:pt>
                <c:pt idx="4">
                  <c:v>2</c:v>
                </c:pt>
                <c:pt idx="5">
                  <c:v>2</c:v>
                </c:pt>
                <c:pt idx="6">
                  <c:v>2</c:v>
                </c:pt>
                <c:pt idx="7">
                  <c:v>2</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FE18-4058-8B2B-EB24CCDE76F9}"/>
            </c:ext>
          </c:extLst>
        </c:ser>
        <c:ser>
          <c:idx val="1"/>
          <c:order val="1"/>
          <c:tx>
            <c:strRef>
              <c:f>'f1'!$C$3</c:f>
              <c:strCache>
                <c:ptCount val="1"/>
                <c:pt idx="0">
                  <c:v>Question Attemped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'f1'!$A$4:$A$25</c:f>
              <c:strCache>
                <c:ptCount val="21"/>
                <c:pt idx="0">
                  <c:v>Team Django</c:v>
                </c:pt>
                <c:pt idx="1">
                  <c:v>M_Hu7Ain</c:v>
                </c:pt>
                <c:pt idx="2">
                  <c:v>The Invincibles</c:v>
                </c:pt>
                <c:pt idx="3">
                  <c:v>Coder</c:v>
                </c:pt>
                <c:pt idx="4">
                  <c:v>Jinnah Coders</c:v>
                </c:pt>
                <c:pt idx="5">
                  <c:v>Centers United</c:v>
                </c:pt>
                <c:pt idx="6">
                  <c:v>Coders++</c:v>
                </c:pt>
                <c:pt idx="7">
                  <c:v>The Vengeance</c:v>
                </c:pt>
                <c:pt idx="8">
                  <c:v>Mehdi Syeds</c:v>
                </c:pt>
                <c:pt idx="9">
                  <c:v>Fast Walay</c:v>
                </c:pt>
                <c:pt idx="10">
                  <c:v>Programming Geeks</c:v>
                </c:pt>
                <c:pt idx="11">
                  <c:v>404 Not Found</c:v>
                </c:pt>
                <c:pt idx="12">
                  <c:v>Coders</c:v>
                </c:pt>
                <c:pt idx="13">
                  <c:v>!Procoders</c:v>
                </c:pt>
                <c:pt idx="14">
                  <c:v>Noobs</c:v>
                </c:pt>
                <c:pt idx="15">
                  <c:v>Binary Brain</c:v>
                </c:pt>
                <c:pt idx="16">
                  <c:v>Bug Busters</c:v>
                </c:pt>
                <c:pt idx="17">
                  <c:v>LMAOXD</c:v>
                </c:pt>
                <c:pt idx="18">
                  <c:v>Logic Lords</c:v>
                </c:pt>
                <c:pt idx="19">
                  <c:v>Forte</c:v>
                </c:pt>
                <c:pt idx="20">
                  <c:v>Gatesmashers</c:v>
                </c:pt>
              </c:strCache>
            </c:strRef>
          </c:cat>
          <c:val>
            <c:numRef>
              <c:f>'f1'!$C$4:$C$25</c:f>
              <c:numCache>
                <c:formatCode>General</c:formatCode>
                <c:ptCount val="21"/>
                <c:pt idx="0">
                  <c:v>4</c:v>
                </c:pt>
                <c:pt idx="1">
                  <c:v>3</c:v>
                </c:pt>
                <c:pt idx="2">
                  <c:v>3</c:v>
                </c:pt>
                <c:pt idx="3">
                  <c:v>4</c:v>
                </c:pt>
                <c:pt idx="4">
                  <c:v>2</c:v>
                </c:pt>
                <c:pt idx="5">
                  <c:v>4</c:v>
                </c:pt>
                <c:pt idx="6">
                  <c:v>2</c:v>
                </c:pt>
                <c:pt idx="7">
                  <c:v>2</c:v>
                </c:pt>
                <c:pt idx="8">
                  <c:v>1</c:v>
                </c:pt>
                <c:pt idx="9">
                  <c:v>1</c:v>
                </c:pt>
                <c:pt idx="10">
                  <c:v>1</c:v>
                </c:pt>
                <c:pt idx="11">
                  <c:v>1</c:v>
                </c:pt>
                <c:pt idx="12">
                  <c:v>1</c:v>
                </c:pt>
                <c:pt idx="13">
                  <c:v>1</c:v>
                </c:pt>
                <c:pt idx="14">
                  <c:v>2</c:v>
                </c:pt>
                <c:pt idx="15">
                  <c:v>1</c:v>
                </c:pt>
                <c:pt idx="16">
                  <c:v>2</c:v>
                </c:pt>
                <c:pt idx="17">
                  <c:v>1</c:v>
                </c:pt>
                <c:pt idx="18">
                  <c:v>1</c:v>
                </c:pt>
                <c:pt idx="19">
                  <c:v>1</c:v>
                </c:pt>
                <c:pt idx="20">
                  <c:v>2</c:v>
                </c:pt>
              </c:numCache>
            </c:numRef>
          </c:val>
          <c:extLst>
            <c:ext xmlns:c16="http://schemas.microsoft.com/office/drawing/2014/chart" uri="{C3380CC4-5D6E-409C-BE32-E72D297353CC}">
              <c16:uniqueId val="{00000001-FE18-4058-8B2B-EB24CCDE76F9}"/>
            </c:ext>
          </c:extLst>
        </c:ser>
        <c:dLbls>
          <c:showLegendKey val="0"/>
          <c:showVal val="0"/>
          <c:showCatName val="0"/>
          <c:showSerName val="0"/>
          <c:showPercent val="0"/>
          <c:showBubbleSize val="0"/>
        </c:dLbls>
        <c:gapWidth val="355"/>
        <c:overlap val="-70"/>
        <c:axId val="1554908655"/>
        <c:axId val="1554909071"/>
      </c:barChart>
      <c:catAx>
        <c:axId val="155490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09071"/>
        <c:crosses val="autoZero"/>
        <c:auto val="1"/>
        <c:lblAlgn val="ctr"/>
        <c:lblOffset val="100"/>
        <c:noMultiLvlLbl val="0"/>
      </c:catAx>
      <c:valAx>
        <c:axId val="155490907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08655"/>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analysis.xlsx]Final_Insights!PivotTable20</c:name>
    <c:fmtId val="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noFill/>
          <a:ln w="25400" cap="flat" cmpd="sng" algn="ctr">
            <a:solidFill>
              <a:schemeClr val="accent1"/>
            </a:solidFill>
            <a:miter lim="800000"/>
          </a:ln>
          <a:effectLst/>
        </c:spPr>
        <c:marker>
          <c:symbol val="none"/>
        </c:marker>
      </c:pivotFmt>
      <c:pivotFmt>
        <c:idx val="11"/>
        <c:spPr>
          <a:noFill/>
          <a:ln w="25400" cap="flat" cmpd="sng" algn="ctr">
            <a:solidFill>
              <a:schemeClr val="accent1"/>
            </a:solidFill>
            <a:miter lim="800000"/>
          </a:ln>
          <a:effectLst/>
        </c:spPr>
        <c:marker>
          <c:symbol val="none"/>
        </c:marker>
      </c:pivotFmt>
      <c:pivotFmt>
        <c:idx val="12"/>
        <c:spPr>
          <a:noFill/>
          <a:ln w="25400" cap="flat" cmpd="sng" algn="ctr">
            <a:solidFill>
              <a:schemeClr val="accent1"/>
            </a:solidFill>
            <a:miter lim="800000"/>
          </a:ln>
          <a:effectLst/>
        </c:spPr>
        <c:marker>
          <c:symbol val="none"/>
        </c:marker>
      </c:pivotFmt>
    </c:pivotFmts>
    <c:plotArea>
      <c:layout/>
      <c:barChart>
        <c:barDir val="col"/>
        <c:grouping val="clustered"/>
        <c:varyColors val="0"/>
        <c:ser>
          <c:idx val="0"/>
          <c:order val="0"/>
          <c:tx>
            <c:strRef>
              <c:f>Final_Insights!$B$26</c:f>
              <c:strCache>
                <c:ptCount val="1"/>
                <c:pt idx="0">
                  <c:v>Sum of Avg Time of solution</c:v>
                </c:pt>
              </c:strCache>
            </c:strRef>
          </c:tx>
          <c:spPr>
            <a:noFill/>
            <a:ln w="25400" cap="flat" cmpd="sng" algn="ctr">
              <a:solidFill>
                <a:schemeClr val="accent1"/>
              </a:solidFill>
              <a:miter lim="800000"/>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Final_Insights!$B$27:$B$33</c:f>
              <c:numCache>
                <c:formatCode>[mm]:ss</c:formatCode>
                <c:ptCount val="6"/>
                <c:pt idx="0">
                  <c:v>1.383101851851852E-2</c:v>
                </c:pt>
                <c:pt idx="1">
                  <c:v>3.3402777777777774E-2</c:v>
                </c:pt>
                <c:pt idx="2">
                  <c:v>2.388888888888889E-2</c:v>
                </c:pt>
                <c:pt idx="3">
                  <c:v>2.9189814814814811E-2</c:v>
                </c:pt>
                <c:pt idx="4">
                  <c:v>0</c:v>
                </c:pt>
                <c:pt idx="5">
                  <c:v>0</c:v>
                </c:pt>
              </c:numCache>
            </c:numRef>
          </c:val>
          <c:extLst>
            <c:ext xmlns:c16="http://schemas.microsoft.com/office/drawing/2014/chart" uri="{C3380CC4-5D6E-409C-BE32-E72D297353CC}">
              <c16:uniqueId val="{00000000-E7E8-43C5-89FA-5141B87C3BBF}"/>
            </c:ext>
          </c:extLst>
        </c:ser>
        <c:ser>
          <c:idx val="1"/>
          <c:order val="1"/>
          <c:tx>
            <c:strRef>
              <c:f>Final_Insights!$C$26</c:f>
              <c:strCache>
                <c:ptCount val="1"/>
                <c:pt idx="0">
                  <c:v>Sum of Minimum Time</c:v>
                </c:pt>
              </c:strCache>
            </c:strRef>
          </c:tx>
          <c:spPr>
            <a:noFill/>
            <a:ln w="25400" cap="flat" cmpd="sng" algn="ctr">
              <a:solidFill>
                <a:schemeClr val="accent2"/>
              </a:solidFill>
              <a:miter lim="800000"/>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Final_Insights!$C$27:$C$33</c:f>
              <c:numCache>
                <c:formatCode>[mm]:ss</c:formatCode>
                <c:ptCount val="6"/>
                <c:pt idx="0">
                  <c:v>1.2418981481481482E-2</c:v>
                </c:pt>
                <c:pt idx="1">
                  <c:v>3.3402777777777774E-2</c:v>
                </c:pt>
                <c:pt idx="2">
                  <c:v>1.6180555555555556E-2</c:v>
                </c:pt>
                <c:pt idx="3">
                  <c:v>6.3773148148148148E-3</c:v>
                </c:pt>
                <c:pt idx="4">
                  <c:v>0</c:v>
                </c:pt>
                <c:pt idx="5">
                  <c:v>0</c:v>
                </c:pt>
              </c:numCache>
            </c:numRef>
          </c:val>
          <c:extLst>
            <c:ext xmlns:c16="http://schemas.microsoft.com/office/drawing/2014/chart" uri="{C3380CC4-5D6E-409C-BE32-E72D297353CC}">
              <c16:uniqueId val="{00000001-E7E8-43C5-89FA-5141B87C3BBF}"/>
            </c:ext>
          </c:extLst>
        </c:ser>
        <c:ser>
          <c:idx val="2"/>
          <c:order val="2"/>
          <c:tx>
            <c:strRef>
              <c:f>Final_Insights!$D$26</c:f>
              <c:strCache>
                <c:ptCount val="1"/>
                <c:pt idx="0">
                  <c:v>Sum of Maximum Time</c:v>
                </c:pt>
              </c:strCache>
            </c:strRef>
          </c:tx>
          <c:spPr>
            <a:noFill/>
            <a:ln w="25400" cap="flat" cmpd="sng" algn="ctr">
              <a:solidFill>
                <a:schemeClr val="accent3"/>
              </a:solidFill>
              <a:miter lim="800000"/>
            </a:ln>
            <a:effectLst/>
          </c:spPr>
          <c:invertIfNegative val="0"/>
          <c:cat>
            <c:strRef>
              <c:f>Final_Insights!$A$27:$A$33</c:f>
              <c:strCache>
                <c:ptCount val="6"/>
                <c:pt idx="0">
                  <c:v>Question 1</c:v>
                </c:pt>
                <c:pt idx="1">
                  <c:v>Question 2</c:v>
                </c:pt>
                <c:pt idx="2">
                  <c:v>Question 3</c:v>
                </c:pt>
                <c:pt idx="3">
                  <c:v>Question 4</c:v>
                </c:pt>
                <c:pt idx="4">
                  <c:v>Question 5</c:v>
                </c:pt>
                <c:pt idx="5">
                  <c:v>Question 6</c:v>
                </c:pt>
              </c:strCache>
            </c:strRef>
          </c:cat>
          <c:val>
            <c:numRef>
              <c:f>Final_Insights!$D$27:$D$33</c:f>
              <c:numCache>
                <c:formatCode>[mm]:ss</c:formatCode>
                <c:ptCount val="6"/>
                <c:pt idx="0">
                  <c:v>1.5243055555555557E-2</c:v>
                </c:pt>
                <c:pt idx="1">
                  <c:v>3.3402777777777774E-2</c:v>
                </c:pt>
                <c:pt idx="2">
                  <c:v>3.0532407407407411E-2</c:v>
                </c:pt>
                <c:pt idx="3">
                  <c:v>3.9039351851851853E-2</c:v>
                </c:pt>
                <c:pt idx="4">
                  <c:v>0</c:v>
                </c:pt>
                <c:pt idx="5">
                  <c:v>0</c:v>
                </c:pt>
              </c:numCache>
            </c:numRef>
          </c:val>
          <c:extLst>
            <c:ext xmlns:c16="http://schemas.microsoft.com/office/drawing/2014/chart" uri="{C3380CC4-5D6E-409C-BE32-E72D297353CC}">
              <c16:uniqueId val="{00000002-E7E8-43C5-89FA-5141B87C3BBF}"/>
            </c:ext>
          </c:extLst>
        </c:ser>
        <c:dLbls>
          <c:showLegendKey val="0"/>
          <c:showVal val="0"/>
          <c:showCatName val="0"/>
          <c:showSerName val="0"/>
          <c:showPercent val="0"/>
          <c:showBubbleSize val="0"/>
        </c:dLbls>
        <c:gapWidth val="164"/>
        <c:overlap val="-35"/>
        <c:axId val="1553592399"/>
        <c:axId val="1553596143"/>
      </c:barChart>
      <c:catAx>
        <c:axId val="155359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53596143"/>
        <c:crosses val="autoZero"/>
        <c:auto val="1"/>
        <c:lblAlgn val="ctr"/>
        <c:lblOffset val="100"/>
        <c:noMultiLvlLbl val="0"/>
      </c:catAx>
      <c:valAx>
        <c:axId val="1553596143"/>
        <c:scaling>
          <c:orientation val="minMax"/>
          <c:max val="4.300000000000001E-2"/>
          <c:min val="0"/>
        </c:scaling>
        <c:delete val="0"/>
        <c:axPos val="l"/>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5359239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analysis.xlsx]f3!PivotTable22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Penalty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'f3'!$B$3</c:f>
              <c:strCache>
                <c:ptCount val="1"/>
                <c:pt idx="0">
                  <c:v>Total</c:v>
                </c:pt>
              </c:strCache>
            </c:strRef>
          </c:tx>
          <c:spPr>
            <a:solidFill>
              <a:schemeClr val="accent1"/>
            </a:solidFill>
            <a:ln>
              <a:noFill/>
            </a:ln>
            <a:effectLst/>
          </c:spPr>
          <c:invertIfNegative val="0"/>
          <c:cat>
            <c:strRef>
              <c:f>'f3'!$A$4:$A$25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'f3'!$B$4:$B$25</c:f>
              <c:numCache>
                <c:formatCode>[h]:mm:ss</c:formatCode>
                <c:ptCount val="21"/>
                <c:pt idx="0">
                  <c:v>0</c:v>
                </c:pt>
                <c:pt idx="1">
                  <c:v>0</c:v>
                </c:pt>
                <c:pt idx="2">
                  <c:v>0</c:v>
                </c:pt>
                <c:pt idx="3">
                  <c:v>0</c:v>
                </c:pt>
                <c:pt idx="4">
                  <c:v>22.537800925925925</c:v>
                </c:pt>
                <c:pt idx="5">
                  <c:v>29.215740740740742</c:v>
                </c:pt>
                <c:pt idx="6">
                  <c:v>0</c:v>
                </c:pt>
                <c:pt idx="7">
                  <c:v>22.120439814814816</c:v>
                </c:pt>
                <c:pt idx="8">
                  <c:v>0</c:v>
                </c:pt>
                <c:pt idx="9">
                  <c:v>0</c:v>
                </c:pt>
                <c:pt idx="10">
                  <c:v>0</c:v>
                </c:pt>
                <c:pt idx="11">
                  <c:v>9.1824074074074069</c:v>
                </c:pt>
                <c:pt idx="12">
                  <c:v>0</c:v>
                </c:pt>
                <c:pt idx="13">
                  <c:v>0</c:v>
                </c:pt>
                <c:pt idx="14">
                  <c:v>70.116863425925928</c:v>
                </c:pt>
                <c:pt idx="15">
                  <c:v>0</c:v>
                </c:pt>
                <c:pt idx="16">
                  <c:v>0</c:v>
                </c:pt>
                <c:pt idx="17">
                  <c:v>0</c:v>
                </c:pt>
                <c:pt idx="18">
                  <c:v>34.22429398148148</c:v>
                </c:pt>
                <c:pt idx="19">
                  <c:v>27.546168981481483</c:v>
                </c:pt>
                <c:pt idx="20">
                  <c:v>20.033622685185186</c:v>
                </c:pt>
              </c:numCache>
            </c:numRef>
          </c:val>
          <c:extLst>
            <c:ext xmlns:c16="http://schemas.microsoft.com/office/drawing/2014/chart" uri="{C3380CC4-5D6E-409C-BE32-E72D297353CC}">
              <c16:uniqueId val="{00000000-B28E-4AB0-8413-58D2ADEFA2D0}"/>
            </c:ext>
          </c:extLst>
        </c:ser>
        <c:dLbls>
          <c:showLegendKey val="0"/>
          <c:showVal val="0"/>
          <c:showCatName val="0"/>
          <c:showSerName val="0"/>
          <c:showPercent val="0"/>
          <c:showBubbleSize val="0"/>
        </c:dLbls>
        <c:gapWidth val="182"/>
        <c:axId val="1325110975"/>
        <c:axId val="1325114303"/>
      </c:barChart>
      <c:catAx>
        <c:axId val="13251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4303"/>
        <c:crossesAt val="0"/>
        <c:auto val="1"/>
        <c:lblAlgn val="ctr"/>
        <c:lblOffset val="100"/>
        <c:noMultiLvlLbl val="0"/>
      </c:catAx>
      <c:valAx>
        <c:axId val="1325114303"/>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0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[Competition analysis.xlsx]Combine!PivotTable7</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Combine!$B$3</c:f>
              <c:strCache>
                <c:ptCount val="1"/>
                <c:pt idx="0">
                  <c:v>Round1_Score</c:v>
                </c:pt>
              </c:strCache>
            </c:strRef>
          </c:tx>
          <c:spPr>
            <a:solidFill>
              <a:schemeClr val="accent1"/>
            </a:solidFill>
            <a:ln>
              <a:noFill/>
            </a:ln>
            <a:effectLst/>
          </c:spPr>
          <c:invertIfNegative val="0"/>
          <c:cat>
            <c:strRef>
              <c:f>Combine!$A$4:$A$25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Combine!$B$4:$B$25</c:f>
              <c:numCache>
                <c:formatCode>General</c:formatCode>
                <c:ptCount val="21"/>
                <c:pt idx="0">
                  <c:v>1</c:v>
                </c:pt>
                <c:pt idx="1">
                  <c:v>0</c:v>
                </c:pt>
                <c:pt idx="2">
                  <c:v>0</c:v>
                </c:pt>
                <c:pt idx="3">
                  <c:v>0</c:v>
                </c:pt>
                <c:pt idx="4">
                  <c:v>2</c:v>
                </c:pt>
                <c:pt idx="5">
                  <c:v>2</c:v>
                </c:pt>
                <c:pt idx="6">
                  <c:v>0</c:v>
                </c:pt>
                <c:pt idx="7">
                  <c:v>2</c:v>
                </c:pt>
                <c:pt idx="8">
                  <c:v>2</c:v>
                </c:pt>
                <c:pt idx="9">
                  <c:v>0</c:v>
                </c:pt>
                <c:pt idx="10">
                  <c:v>0</c:v>
                </c:pt>
                <c:pt idx="11">
                  <c:v>2</c:v>
                </c:pt>
                <c:pt idx="12">
                  <c:v>2</c:v>
                </c:pt>
                <c:pt idx="13">
                  <c:v>0</c:v>
                </c:pt>
                <c:pt idx="14">
                  <c:v>0</c:v>
                </c:pt>
                <c:pt idx="15">
                  <c:v>0</c:v>
                </c:pt>
                <c:pt idx="16">
                  <c:v>0</c:v>
                </c:pt>
                <c:pt idx="17">
                  <c:v>1</c:v>
                </c:pt>
                <c:pt idx="18">
                  <c:v>4</c:v>
                </c:pt>
                <c:pt idx="19">
                  <c:v>3</c:v>
                </c:pt>
                <c:pt idx="20">
                  <c:v>1</c:v>
                </c:pt>
              </c:numCache>
            </c:numRef>
          </c:val>
          <c:extLst>
            <c:ext xmlns:c16="http://schemas.microsoft.com/office/drawing/2014/chart" uri="{C3380CC4-5D6E-409C-BE32-E72D297353CC}">
              <c16:uniqueId val="{00000000-8020-425D-8101-81FA0056E251}"/>
            </c:ext>
          </c:extLst>
        </c:ser>
        <c:ser>
          <c:idx val="1"/>
          <c:order val="1"/>
          <c:tx>
            <c:strRef>
              <c:f>Combine!$C$3</c:f>
              <c:strCache>
                <c:ptCount val="1"/>
                <c:pt idx="0">
                  <c:v>Round2_Score</c:v>
                </c:pt>
              </c:strCache>
            </c:strRef>
          </c:tx>
          <c:spPr>
            <a:solidFill>
              <a:schemeClr val="accent2"/>
            </a:solidFill>
            <a:ln>
              <a:noFill/>
            </a:ln>
            <a:effectLst/>
          </c:spPr>
          <c:invertIfNegative val="0"/>
          <c:cat>
            <c:strRef>
              <c:f>Combine!$A$4:$A$25</c:f>
              <c:strCache>
                <c:ptCount val="21"/>
                <c:pt idx="0">
                  <c:v>!Procoders</c:v>
                </c:pt>
                <c:pt idx="1">
                  <c:v>404 Not Found</c:v>
                </c:pt>
                <c:pt idx="2">
                  <c:v>Binary Brain</c:v>
                </c:pt>
                <c:pt idx="3">
                  <c:v>Bug Busters</c:v>
                </c:pt>
                <c:pt idx="4">
                  <c:v>Centers United</c:v>
                </c:pt>
                <c:pt idx="5">
                  <c:v>Coder</c:v>
                </c:pt>
                <c:pt idx="6">
                  <c:v>Coders</c:v>
                </c:pt>
                <c:pt idx="7">
                  <c:v>Coders++</c:v>
                </c:pt>
                <c:pt idx="8">
                  <c:v>Fast Walay</c:v>
                </c:pt>
                <c:pt idx="9">
                  <c:v>Forte</c:v>
                </c:pt>
                <c:pt idx="10">
                  <c:v>Gatesmashers</c:v>
                </c:pt>
                <c:pt idx="11">
                  <c:v>Jinnah Coders</c:v>
                </c:pt>
                <c:pt idx="12">
                  <c:v>LMAOXD</c:v>
                </c:pt>
                <c:pt idx="13">
                  <c:v>Logic Lords</c:v>
                </c:pt>
                <c:pt idx="14">
                  <c:v>M_Hu7Ain</c:v>
                </c:pt>
                <c:pt idx="15">
                  <c:v>Mehdi Syeds</c:v>
                </c:pt>
                <c:pt idx="16">
                  <c:v>Noobs</c:v>
                </c:pt>
                <c:pt idx="17">
                  <c:v>Programming Geeks</c:v>
                </c:pt>
                <c:pt idx="18">
                  <c:v>Team Django</c:v>
                </c:pt>
                <c:pt idx="19">
                  <c:v>The Invincibles</c:v>
                </c:pt>
                <c:pt idx="20">
                  <c:v>The Vengeance</c:v>
                </c:pt>
              </c:strCache>
            </c:strRef>
          </c:cat>
          <c:val>
            <c:numRef>
              <c:f>Combine!$C$4:$C$25</c:f>
              <c:numCache>
                <c:formatCode>General</c:formatCode>
                <c:ptCount val="21"/>
                <c:pt idx="0">
                  <c:v>0</c:v>
                </c:pt>
                <c:pt idx="1">
                  <c:v>0</c:v>
                </c:pt>
                <c:pt idx="2">
                  <c:v>0</c:v>
                </c:pt>
                <c:pt idx="3">
                  <c:v>0</c:v>
                </c:pt>
                <c:pt idx="4">
                  <c:v>2</c:v>
                </c:pt>
                <c:pt idx="5">
                  <c:v>4</c:v>
                </c:pt>
                <c:pt idx="6">
                  <c:v>0</c:v>
                </c:pt>
                <c:pt idx="7">
                  <c:v>2</c:v>
                </c:pt>
                <c:pt idx="8">
                  <c:v>0</c:v>
                </c:pt>
                <c:pt idx="9">
                  <c:v>0</c:v>
                </c:pt>
                <c:pt idx="10">
                  <c:v>0</c:v>
                </c:pt>
                <c:pt idx="11">
                  <c:v>2</c:v>
                </c:pt>
                <c:pt idx="12">
                  <c:v>0</c:v>
                </c:pt>
                <c:pt idx="13">
                  <c:v>0</c:v>
                </c:pt>
                <c:pt idx="14">
                  <c:v>6</c:v>
                </c:pt>
                <c:pt idx="15">
                  <c:v>0</c:v>
                </c:pt>
                <c:pt idx="16">
                  <c:v>0</c:v>
                </c:pt>
                <c:pt idx="17">
                  <c:v>0</c:v>
                </c:pt>
                <c:pt idx="18">
                  <c:v>6</c:v>
                </c:pt>
                <c:pt idx="19">
                  <c:v>4</c:v>
                </c:pt>
                <c:pt idx="20">
                  <c:v>2</c:v>
                </c:pt>
              </c:numCache>
            </c:numRef>
          </c:val>
          <c:extLst>
            <c:ext xmlns:c16="http://schemas.microsoft.com/office/drawing/2014/chart" uri="{C3380CC4-5D6E-409C-BE32-E72D297353CC}">
              <c16:uniqueId val="{00000001-8020-425D-8101-81FA0056E251}"/>
            </c:ext>
          </c:extLst>
        </c:ser>
        <c:dLbls>
          <c:showLegendKey val="0"/>
          <c:showVal val="0"/>
          <c:showCatName val="0"/>
          <c:showSerName val="0"/>
          <c:showPercent val="0"/>
          <c:showBubbleSize val="0"/>
        </c:dLbls>
        <c:gapWidth val="219"/>
        <c:overlap val="-27"/>
        <c:axId val="1529819231"/>
        <c:axId val="1529820895"/>
      </c:barChart>
      <c:catAx>
        <c:axId val="15298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0895"/>
        <c:crosses val="autoZero"/>
        <c:auto val="1"/>
        <c:lblAlgn val="ctr"/>
        <c:lblOffset val="100"/>
        <c:noMultiLvlLbl val="0"/>
      </c:catAx>
      <c:valAx>
        <c:axId val="152982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19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152400</xdr:colOff>
      <xdr:row>4</xdr:row>
      <xdr:rowOff>133350</xdr:rowOff>
    </xdr:from>
    <xdr:to>
      <xdr:col>6</xdr:col>
      <xdr:colOff>967740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556260</xdr:colOff>
      <xdr:row>8</xdr:row>
      <xdr:rowOff>22860</xdr:rowOff>
    </xdr:from>
    <xdr:to>
      <xdr:col>5</xdr:col>
      <xdr:colOff>762000</xdr:colOff>
      <xdr:row>21</xdr:row>
      <xdr:rowOff>112395</xdr:rowOff>
    </xdr:to>
    <mc:AlternateContent xmlns:mc="http://schemas.openxmlformats.org/markup-compatibility/2006" xmlns:a14="http://schemas.microsoft.com/office/drawing/2010/main">
      <mc:Choice Requires="a14">
        <xdr:graphicFrame macro="">
          <xdr:nvGraphicFramePr>
            <xdr:cNvPr id="3" name="Teams Title 1"/>
            <xdr:cNvGraphicFramePr/>
          </xdr:nvGraphicFramePr>
          <xdr:xfrm>
            <a:off x="0" y="0"/>
            <a:ext cx="0" cy="0"/>
          </xdr:xfrm>
          <a:graphic>
            <a:graphicData uri="http://schemas.microsoft.com/office/drawing/2010/slicer">
              <sle:slicer xmlns:sle="http://schemas.microsoft.com/office/drawing/2010/slicer" name="Teams Title 1"/>
            </a:graphicData>
          </a:graphic>
        </xdr:graphicFrame>
      </mc:Choice>
      <mc:Fallback xmlns="">
        <xdr:sp macro="" textlink="">
          <xdr:nvSpPr>
            <xdr:cNvPr id="0" name=""/>
            <xdr:cNvSpPr>
              <a:spLocks noTextEdit="1"/>
            </xdr:cNvSpPr>
          </xdr:nvSpPr>
          <xdr:spPr>
            <a:xfrm>
              <a:off x="5288280" y="1485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1082040</xdr:colOff>
      <xdr:row>6</xdr:row>
      <xdr:rowOff>0</xdr:rowOff>
    </xdr:from>
    <xdr:to>
      <xdr:col>7</xdr:col>
      <xdr:colOff>182880</xdr:colOff>
      <xdr:row>26</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434340</xdr:colOff>
      <xdr:row>5</xdr:row>
      <xdr:rowOff>3810</xdr:rowOff>
    </xdr:from>
    <xdr:to>
      <xdr:col>12</xdr:col>
      <xdr:colOff>236220</xdr:colOff>
      <xdr:row>20</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11</xdr:row>
      <xdr:rowOff>171450</xdr:rowOff>
    </xdr:from>
    <xdr:to>
      <xdr:col>10</xdr:col>
      <xdr:colOff>243840</xdr:colOff>
      <xdr:row>26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11</xdr:col>
      <xdr:colOff>190500</xdr:colOff>
      <xdr:row>21</xdr:row>
      <xdr:rowOff>163830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144780</xdr:colOff>
      <xdr:row>0</xdr:row>
      <xdr:rowOff>68580</xdr:rowOff>
    </xdr:from>
    <xdr:to>
      <xdr:col>23</xdr:col>
      <xdr:colOff>144780</xdr:colOff>
      <xdr:row>23</xdr:row>
      <xdr:rowOff>53340</xdr:rowOff>
    </xdr:to>
    <mc:AlternateContent xmlns:mc="http://schemas.openxmlformats.org/markup-compatibility/2006" xmlns:a14="http://schemas.microsoft.com/office/drawing/2010/main">
      <mc:Choice Requires="a14">
        <xdr:graphicFrame macro="">
          <xdr:nvGraphicFramePr>
            <xdr:cNvPr id="16" name="Teams Title 2"/>
            <xdr:cNvGraphicFramePr/>
          </xdr:nvGraphicFramePr>
          <xdr:xfrm>
            <a:off x="0" y="0"/>
            <a:ext cx="0" cy="0"/>
          </xdr:xfrm>
          <a:graphic>
            <a:graphicData uri="http://schemas.microsoft.com/office/drawing/2010/slicer">
              <sle:slicer xmlns:sle="http://schemas.microsoft.com/office/drawing/2010/slicer" name="Teams Title 2"/>
            </a:graphicData>
          </a:graphic>
        </xdr:graphicFrame>
      </mc:Choice>
      <mc:Fallback xmlns="">
        <xdr:sp macro="" textlink="">
          <xdr:nvSpPr>
            <xdr:cNvPr id="0" name=""/>
            <xdr:cNvSpPr>
              <a:spLocks noTextEdit="1"/>
            </xdr:cNvSpPr>
          </xdr:nvSpPr>
          <xdr:spPr>
            <a:xfrm>
              <a:off x="13929360" y="68580"/>
              <a:ext cx="1828800" cy="419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121920</xdr:rowOff>
    </xdr:from>
    <xdr:to>
      <xdr:col>16</xdr:col>
      <xdr:colOff>396240</xdr:colOff>
      <xdr:row>46</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213360</xdr:colOff>
      <xdr:row>2</xdr:row>
      <xdr:rowOff>30480</xdr:rowOff>
    </xdr:from>
    <xdr:to>
      <xdr:col>20</xdr:col>
      <xdr:colOff>99060</xdr:colOff>
      <xdr:row>21</xdr:row>
      <xdr:rowOff>137160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518160</xdr:colOff>
      <xdr:row>0</xdr:row>
      <xdr:rowOff>121921</xdr:rowOff>
    </xdr:from>
    <xdr:to>
      <xdr:col>19</xdr:col>
      <xdr:colOff>518160</xdr:colOff>
      <xdr:row>11</xdr:row>
      <xdr:rowOff>91441</xdr:rowOff>
    </xdr:to>
    <mc:AlternateContent xmlns:mc="http://schemas.openxmlformats.org/markup-compatibility/2006" xmlns:a14="http://schemas.microsoft.com/office/drawing/2010/main">
      <mc:Choice Requires="a14">
        <xdr:graphicFrame macro="">
          <xdr:nvGraphicFramePr>
            <xdr:cNvPr id="2" name="S. No"/>
            <xdr:cNvGraphicFramePr/>
          </xdr:nvGraphicFramePr>
          <xdr:xfrm>
            <a:off x="0" y="0"/>
            <a:ext cx="0" cy="0"/>
          </xdr:xfrm>
          <a:graphic>
            <a:graphicData uri="http://schemas.microsoft.com/office/drawing/2010/slicer">
              <sle:slicer xmlns:sle="http://schemas.microsoft.com/office/drawing/2010/slicer" name="S. No"/>
            </a:graphicData>
          </a:graphic>
        </xdr:graphicFrame>
      </mc:Choice>
      <mc:Fallback xmlns="">
        <xdr:sp macro="" textlink="">
          <xdr:nvSpPr>
            <xdr:cNvPr id="0" name=""/>
            <xdr:cNvSpPr>
              <a:spLocks noTextEdit="1"/>
            </xdr:cNvSpPr>
          </xdr:nvSpPr>
          <xdr:spPr>
            <a:xfrm>
              <a:off x="11864340" y="121921"/>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563880</xdr:colOff>
      <xdr:row>27</xdr:row>
      <xdr:rowOff>0</xdr:rowOff>
    </xdr:from>
    <xdr:to>
      <xdr:col>25</xdr:col>
      <xdr:colOff>365760</xdr:colOff>
      <xdr:row>42</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2</xdr:row>
      <xdr:rowOff>171450</xdr:rowOff>
    </xdr:from>
    <xdr:to>
      <xdr:col>12</xdr:col>
      <xdr:colOff>342900</xdr:colOff>
      <xdr:row>20</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601980</xdr:colOff>
      <xdr:row>6</xdr:row>
      <xdr:rowOff>3810</xdr:rowOff>
    </xdr:from>
    <xdr:to>
      <xdr:col>13</xdr:col>
      <xdr:colOff>297180</xdr:colOff>
      <xdr:row>21</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548640</xdr:colOff>
      <xdr:row>5</xdr:row>
      <xdr:rowOff>179070</xdr:rowOff>
    </xdr:from>
    <xdr:to>
      <xdr:col>12</xdr:col>
      <xdr:colOff>449580</xdr:colOff>
      <xdr:row>26</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342900</xdr:colOff>
      <xdr:row>7</xdr:row>
      <xdr:rowOff>11430</xdr:rowOff>
    </xdr:from>
    <xdr:to>
      <xdr:col>14</xdr:col>
      <xdr:colOff>137160</xdr:colOff>
      <xdr:row>22</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617220</xdr:colOff>
      <xdr:row>12</xdr:row>
      <xdr:rowOff>19050</xdr:rowOff>
    </xdr:from>
    <xdr:to>
      <xdr:col>12</xdr:col>
      <xdr:colOff>335280</xdr:colOff>
      <xdr:row>27</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198120</xdr:colOff>
      <xdr:row>1</xdr:row>
      <xdr:rowOff>175260</xdr:rowOff>
    </xdr:from>
    <xdr:to>
      <xdr:col>19</xdr:col>
      <xdr:colOff>7620</xdr:colOff>
      <xdr:row>29</xdr:row>
      <xdr:rowOff>91440</xdr:rowOff>
    </xdr:to>
    <mc:AlternateContent xmlns:mc="http://schemas.openxmlformats.org/markup-compatibility/2006" xmlns:a14="http://schemas.microsoft.com/office/drawing/2010/main">
      <mc:Choice Requires="a14">
        <xdr:graphicFrame macro="">
          <xdr:nvGraphicFramePr>
            <xdr:cNvPr id="5" name="Teams Title"/>
            <xdr:cNvGraphicFramePr/>
          </xdr:nvGraphicFramePr>
          <xdr:xfrm>
            <a:off x="0" y="0"/>
            <a:ext cx="0" cy="0"/>
          </xdr:xfrm>
          <a:graphic>
            <a:graphicData uri="http://schemas.microsoft.com/office/drawing/2010/slicer">
              <sle:slicer xmlns:sle="http://schemas.microsoft.com/office/drawing/2010/slicer" name="Teams Title"/>
            </a:graphicData>
          </a:graphic>
        </xdr:graphicFrame>
      </mc:Choice>
      <mc:Fallback xmlns="">
        <xdr:sp macro="" textlink="">
          <xdr:nvSpPr>
            <xdr:cNvPr id="0" name=""/>
            <xdr:cNvSpPr>
              <a:spLocks noTextEdit="1"/>
            </xdr:cNvSpPr>
          </xdr:nvSpPr>
          <xdr:spPr>
            <a:xfrm>
              <a:off x="10294620" y="358140"/>
              <a:ext cx="2247900" cy="505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20</xdr:row>
      <xdr:rowOff>68580</xdr:rowOff>
    </xdr:from>
    <xdr:to>
      <xdr:col>15</xdr:col>
      <xdr:colOff>7620</xdr:colOff>
      <xdr:row>40</xdr:row>
      <xdr:rowOff>171450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2</xdr:row>
      <xdr:rowOff>0</xdr:rowOff>
    </xdr:from>
    <xdr:to>
      <xdr:col>7</xdr:col>
      <xdr:colOff>335280</xdr:colOff>
      <xdr:row>17</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373380</xdr:colOff>
      <xdr:row>2</xdr:row>
      <xdr:rowOff>7620</xdr:rowOff>
    </xdr:from>
    <xdr:to>
      <xdr:col>15</xdr:col>
      <xdr:colOff>68580</xdr:colOff>
      <xdr:row>17</xdr:row>
      <xdr:rowOff>7620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563880</xdr:colOff>
      <xdr:row>2</xdr:row>
      <xdr:rowOff>137161</xdr:rowOff>
    </xdr:from>
    <xdr:to>
      <xdr:col>21</xdr:col>
      <xdr:colOff>563880</xdr:colOff>
      <xdr:row>14</xdr:row>
      <xdr:rowOff>83821</xdr:rowOff>
    </xdr:to>
    <mc:AlternateContent xmlns:mc="http://schemas.openxmlformats.org/markup-compatibility/2006" xmlns:a14="http://schemas.microsoft.com/office/drawing/2010/main">
      <mc:Choice Requires="a14">
        <xdr:graphicFrame macro="">
          <xdr:nvGraphicFramePr>
            <xdr:cNvPr id="16" name="Questions"/>
            <xdr:cNvGraphicFramePr/>
          </xdr:nvGraphicFramePr>
          <xdr:xfrm>
            <a:off x="0" y="0"/>
            <a:ext cx="0" cy="0"/>
          </xdr:xfrm>
          <a:graphic>
            <a:graphicData uri="http://schemas.microsoft.com/office/drawing/2010/slicer">
              <sle:slicer xmlns:sle="http://schemas.microsoft.com/office/drawing/2010/slicer" name="Questions"/>
            </a:graphicData>
          </a:graphic>
        </xdr:graphicFrame>
      </mc:Choice>
      <mc:Fallback xmlns="">
        <xdr:sp macro="" textlink="">
          <xdr:nvSpPr>
            <xdr:cNvPr id="0" name=""/>
            <xdr:cNvSpPr>
              <a:spLocks noTextEdit="1"/>
            </xdr:cNvSpPr>
          </xdr:nvSpPr>
          <xdr:spPr>
            <a:xfrm>
              <a:off x="12489180" y="502921"/>
              <a:ext cx="1828800" cy="2141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30</xdr:row>
      <xdr:rowOff>0</xdr:rowOff>
    </xdr:from>
    <xdr:to>
      <xdr:col>26</xdr:col>
      <xdr:colOff>403860</xdr:colOff>
      <xdr:row>45</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0</xdr:rowOff>
    </xdr:from>
    <xdr:to>
      <xdr:col>8</xdr:col>
      <xdr:colOff>541020</xdr:colOff>
      <xdr:row>61</xdr:row>
      <xdr:rowOff>140970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ASFAR" refreshedDate="45739.751197106481" createdVersion="6" refreshedVersion="6" minRefreshableVersion="3" recordCount="6">
  <cacheSource type="worksheet">
    <worksheetSource name="Table25"/>
  </cacheSource>
  <cacheFields count="5">
    <cacheField name="S. No" numFmtId="0">
      <sharedItems count="6">
        <s v="Question 1"/>
        <s v="Question 2"/>
        <s v="Question 3"/>
        <s v="Question 4"/>
        <s v="Question 5"/>
        <s v="Question 6"/>
      </sharedItems>
    </cacheField>
    <cacheField name="Avg Time of solution" numFmtId="164">
      <sharedItems containsSemiMixedTypes="0" containsNonDate="0" containsDate="1" containsString="0" minDate="1899-12-30T00:00:00" maxDate="1899-12-30T00:56:48"/>
    </cacheField>
    <cacheField name="Minimum Time" numFmtId="164">
      <sharedItems containsSemiMixedTypes="0" containsNonDate="0" containsDate="1" containsString="0" minDate="1899-12-30T00:00:00" maxDate="1899-12-30T00:56:48"/>
    </cacheField>
    <cacheField name="Maximum Time" numFmtId="164">
      <sharedItems containsSemiMixedTypes="0" containsNonDate="0" containsDate="1" containsString="0" minDate="1899-12-30T00:00:00" maxDate="1899-12-30T02:05:40"/>
    </cacheField>
    <cacheField name="First Solved By:" numFmtId="164">
      <sharedItems/>
    </cacheField>
  </cacheFields>
  <extLst>
    <ext xmlns:x14="http://schemas.microsoft.com/office/spreadsheetml/2009/9/main" uri="{725AE2AE-9491-48be-B2B4-4EB974FC3084}">
      <x14:pivotCacheDefinition pivotCacheId="4"/>
    </ext>
  </extLst>
</pivotCacheDefinition>
</file>

<file path=xl/pivotCache/pivotCacheDefinition2.xml><?xml version="1.0" encoding="utf-8"?>
<pivotCacheDefinition xmlns="http://schemas.openxmlformats.org/spreadsheetml/2006/main" xmlns:r="http://schemas.openxmlformats.org/officeDocument/2006/relationships" r:id="rId1" refreshedBy="ASFAR" refreshedDate="45739.751199305552" createdVersion="6" refreshedVersion="6" minRefreshableVersion="3" recordCount="6">
  <cacheSource type="worksheet">
    <worksheetSource name="Table2"/>
  </cacheSource>
  <cacheFields count="7">
    <cacheField name="S. No" numFmtId="0">
      <sharedItems count="6">
        <s v="Question 1"/>
        <s v="Question 2"/>
        <s v="Question 3"/>
        <s v="Question 4"/>
        <s v="Question 5"/>
        <s v="Question 6"/>
      </sharedItems>
    </cacheField>
    <cacheField name="Avg Time of solution" numFmtId="164">
      <sharedItems containsSemiMixedTypes="0" containsNonDate="0" containsDate="1" containsString="0" minDate="1899-12-30T00:00:00" maxDate="1899-12-30T00:48:06"/>
    </cacheField>
    <cacheField name="Minimum Time" numFmtId="164">
      <sharedItems containsSemiMixedTypes="0" containsNonDate="0" containsDate="1" containsString="0" minDate="1899-12-30T00:00:00" maxDate="1899-12-30T00:48:06" count="5">
        <d v="1899-12-30T00:17:53"/>
        <d v="1899-12-30T00:48:06"/>
        <d v="1899-12-30T00:23:18"/>
        <d v="1899-12-30T00:09:11"/>
        <d v="1899-12-30T00:00:00"/>
      </sharedItems>
      <fieldGroup par="6" base="2">
        <rangePr groupBy="seconds" startDate="1899-12-30T00:00:00" endDate="1899-12-30T00:48:06"/>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aximum Time" numFmtId="164">
      <sharedItems containsSemiMixedTypes="0" containsNonDate="0" containsDate="1" containsString="0" minDate="1899-12-30T00:00:00" maxDate="1899-12-30T00:56:13"/>
    </cacheField>
    <cacheField name="First solved by" numFmtId="0">
      <sharedItems/>
    </cacheField>
    <cacheField name="Minutes" numFmtId="0" databaseField="0">
      <fieldGroup base="2">
        <rangePr groupBy="minutes" startDate="1899-12-30T00:00:00" endDate="1899-12-30T00:48:06"/>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2">
        <rangePr groupBy="hours" startDate="1899-12-30T00:00:00" endDate="1899-12-30T00:48:06"/>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SFAR" refreshedDate="45739.751199999999" createdVersion="6" refreshedVersion="6" minRefreshableVersion="3" recordCount="22">
  <cacheSource type="worksheet">
    <worksheetSource name="Table3"/>
  </cacheSource>
  <cacheFields count="19">
    <cacheField name="Rank" numFmtId="0">
      <sharedItems containsSemiMixedTypes="0" containsString="0" containsNumber="1" containsInteger="1" minValue="1" maxValue="22"/>
    </cacheField>
    <cacheField name="Team" numFmtId="0">
      <sharedItems/>
    </cacheField>
    <cacheField name="Teams Title" numFmtId="0">
      <sharedItems count="22">
        <s v="Team Django"/>
        <s v="The Invincibles"/>
        <s v="Fast Walay"/>
        <s v="Jinnah_Coder"/>
        <s v="Centers_Unite"/>
        <s v="Coder"/>
        <s v="Coders++"/>
        <s v="LMAOXD"/>
        <s v="!Procoders"/>
        <s v="Programming Geeks"/>
        <s v="The Vengeance"/>
        <s v="Logic_Lords"/>
        <s v="Syeds"/>
        <s v="Binary Brain"/>
        <s v="Noobs"/>
        <s v="Bug Busters"/>
        <s v="Forte"/>
        <s v="Mh"/>
        <s v="404 Not Found"/>
        <s v="Gatesmashers"/>
        <s v="Coders"/>
        <s v="Huzaifa"/>
      </sharedItems>
    </cacheField>
    <cacheField name="Score" numFmtId="0">
      <sharedItems containsSemiMixedTypes="0" containsString="0" containsNumber="1" containsInteger="1" minValue="0" maxValue="4"/>
    </cacheField>
    <cacheField name="Penalty" numFmtId="21">
      <sharedItems containsSemiMixedTypes="0" containsNonDate="0" containsDate="1" containsString="0" minDate="1899-12-30T00:00:00" maxDate="1900-05-07T13:08:16" count="12">
        <d v="1900-03-26T09:27:07"/>
        <d v="1900-03-26T19:28:32"/>
        <d v="1900-01-17T18:45:30"/>
        <d v="1900-01-24T21:02:31"/>
        <d v="1900-02-05T23:31:43"/>
        <d v="1900-02-11T09:44:01"/>
        <d v="1900-03-05T22:38:04"/>
        <d v="1900-05-07T13:08:16"/>
        <d v="1900-01-13T04:34:19"/>
        <d v="1900-01-19T20:50:59"/>
        <d v="1900-02-02T05:22:00"/>
        <d v="1899-12-30T00:00:00"/>
      </sharedItems>
      <fieldGroup par="18" base="4">
        <rangePr groupBy="days" startDate="1899-12-30T00:00:00" endDate="1900-05-07T13:08:16"/>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5/1900"/>
        </groupItems>
      </fieldGroup>
    </cacheField>
    <cacheField name="Question A" numFmtId="164">
      <sharedItems containsDate="1" containsMixedTypes="1" minDate="1899-12-30T00:05:40" maxDate="1899-12-30T02:05:40"/>
    </cacheField>
    <cacheField name="No. of attempted A" numFmtId="1">
      <sharedItems containsSemiMixedTypes="0" containsString="0" containsNumber="1" containsInteger="1" minValue="-4" maxValue="4"/>
    </cacheField>
    <cacheField name="Question B" numFmtId="164">
      <sharedItems containsDate="1" containsMixedTypes="1" minDate="1899-12-30T00:10:16" maxDate="1899-12-30T01:02:00"/>
    </cacheField>
    <cacheField name="No. of attempted B" numFmtId="1">
      <sharedItems containsSemiMixedTypes="0" containsString="0" containsNumber="1" containsInteger="1" minValue="-1" maxValue="1"/>
    </cacheField>
    <cacheField name="Question C" numFmtId="164">
      <sharedItems containsDate="1" containsMixedTypes="1" minDate="1899-12-30T00:23:15" maxDate="1899-12-30T01:06:25"/>
    </cacheField>
    <cacheField name="No. of attempted C" numFmtId="1">
      <sharedItems containsSemiMixedTypes="0" containsString="0" containsNumber="1" containsInteger="1" minValue="-5" maxValue="6"/>
    </cacheField>
    <cacheField name="Question D" numFmtId="164">
      <sharedItems containsDate="1" containsMixedTypes="1" minDate="1899-12-30T00:48:40" maxDate="1899-12-30T00:52:15"/>
    </cacheField>
    <cacheField name="No. of attempted D" numFmtId="1">
      <sharedItems containsSemiMixedTypes="0" containsString="0" containsNumber="1" containsInteger="1" minValue="-6" maxValue="1"/>
    </cacheField>
    <cacheField name="Question E" numFmtId="164">
      <sharedItems containsDate="1" containsMixedTypes="1" minDate="1899-12-30T00:56:48" maxDate="1899-12-30T00:56:48"/>
    </cacheField>
    <cacheField name="No. of attempted E" numFmtId="1">
      <sharedItems containsSemiMixedTypes="0" containsString="0" containsNumber="1" containsInteger="1" minValue="-2" maxValue="1"/>
    </cacheField>
    <cacheField name="Question F" numFmtId="164">
      <sharedItems/>
    </cacheField>
    <cacheField name="No. of attempted F" numFmtId="1">
      <sharedItems containsSemiMixedTypes="0" containsString="0" containsNumber="1" containsInteger="1" minValue="-3" maxValue="0"/>
    </cacheField>
    <cacheField name="Total No. of q Attemped" numFmtId="1">
      <sharedItems containsSemiMixedTypes="0" containsString="0" containsNumber="1" containsInteger="1" minValue="1" maxValue="4"/>
    </cacheField>
    <cacheField name="Months" numFmtId="0" databaseField="0">
      <fieldGroup base="4">
        <rangePr groupBy="months" startDate="1899-12-30T00:00:00" endDate="1900-05-07T13:08:16"/>
        <groupItems count="14">
          <s v="&lt;00/01/1900"/>
          <s v="Jan"/>
          <s v="Feb"/>
          <s v="Mar"/>
          <s v="Apr"/>
          <s v="May"/>
          <s v="Jun"/>
          <s v="Jul"/>
          <s v="Aug"/>
          <s v="Sep"/>
          <s v="Oct"/>
          <s v="Nov"/>
          <s v="Dec"/>
          <s v="&gt;07/05/1900"/>
        </groupItems>
      </fieldGroup>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ASFAR" refreshedDate="45739.773775694448" createdVersion="6" refreshedVersion="6" minRefreshableVersion="3" recordCount="21">
  <cacheSource type="worksheet">
    <worksheetSource name="Table1"/>
  </cacheSource>
  <cacheFields count="20">
    <cacheField name="Rank" numFmtId="0">
      <sharedItems containsSemiMixedTypes="0" containsString="0" containsNumber="1" containsInteger="1" minValue="1" maxValue="21"/>
    </cacheField>
    <cacheField name="Team" numFmtId="0">
      <sharedItems/>
    </cacheField>
    <cacheField name="Teams Title" numFmtId="0">
      <sharedItems count="21">
        <s v="Bug Busters"/>
        <s v="Programming Geeks"/>
        <s v="404 Not Found"/>
        <s v="The Invincibles"/>
        <s v="The Vengeance"/>
        <s v="Centers United"/>
        <s v="Coders"/>
        <s v="Coders++"/>
        <s v="Forte"/>
        <s v="LMAOXD"/>
        <s v="Logic Lords"/>
        <s v="Jinnah Coders"/>
        <s v="Mehdi Syeds"/>
        <s v="M_Hu7Ain"/>
        <s v="Noobs"/>
        <s v="Binary Brain"/>
        <s v="Gatesmashers"/>
        <s v="!Procoders"/>
        <s v="Fast Walay"/>
        <s v="Team Django"/>
        <s v="Coder"/>
      </sharedItems>
    </cacheField>
    <cacheField name="R1_Score" numFmtId="0">
      <sharedItems containsSemiMixedTypes="0" containsString="0" containsNumber="1" containsInteger="1" minValue="0" maxValue="4"/>
    </cacheField>
    <cacheField name="Score" numFmtId="0">
      <sharedItems containsSemiMixedTypes="0" containsString="0" containsNumber="1" containsInteger="1" minValue="0" maxValue="6"/>
    </cacheField>
    <cacheField name="Penalty" numFmtId="0">
      <sharedItems containsSemiMixedTypes="0" containsNonDate="0" containsDate="1" containsString="0" minDate="1899-12-30T00:00:00" maxDate="1900-03-10T02:48:17" count="9">
        <d v="1899-12-30T00:00:00"/>
        <d v="1900-01-26T13:06:29"/>
        <d v="1900-01-19T00:48:25"/>
        <d v="1900-01-21T12:54:26"/>
        <d v="1900-01-21T02:53:26"/>
        <d v="1900-01-08T04:22:40"/>
        <d v="1900-03-10T02:48:17"/>
        <d v="1900-02-02T05:22:59"/>
        <d v="1900-01-28T05:10:40"/>
      </sharedItems>
      <fieldGroup par="19" base="5">
        <rangePr groupBy="days" startDate="1899-12-30T00:00:00" endDate="1900-03-10T02:48:17"/>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3/1900"/>
        </groupItems>
      </fieldGroup>
    </cacheField>
    <cacheField name="Question A" numFmtId="0">
      <sharedItems containsDate="1" containsMixedTypes="1" minDate="1899-12-30T00:17:53" maxDate="1899-12-30T00:21:57"/>
    </cacheField>
    <cacheField name="No. of attempted A" numFmtId="0">
      <sharedItems containsSemiMixedTypes="0" containsString="0" containsNumber="1" containsInteger="1" minValue="-3" maxValue="2"/>
    </cacheField>
    <cacheField name="Question B" numFmtId="0">
      <sharedItems containsDate="1" containsMixedTypes="1" minDate="1899-12-30T00:48:06" maxDate="1899-12-30T00:48:06"/>
    </cacheField>
    <cacheField name="No. of attempted B" numFmtId="0">
      <sharedItems containsSemiMixedTypes="0" containsString="0" containsNumber="1" containsInteger="1" minValue="-4" maxValue="1"/>
    </cacheField>
    <cacheField name="Question C" numFmtId="0">
      <sharedItems containsDate="1" containsMixedTypes="1" minDate="1899-12-30T00:23:18" maxDate="1899-12-30T00:43:58"/>
    </cacheField>
    <cacheField name="No. of attempted C" numFmtId="0">
      <sharedItems containsSemiMixedTypes="0" containsString="0" containsNumber="1" containsInteger="1" minValue="-4" maxValue="2"/>
    </cacheField>
    <cacheField name="Question D" numFmtId="0">
      <sharedItems containsDate="1" containsMixedTypes="1" minDate="1899-12-30T00:09:11" maxDate="1899-12-30T00:56:13"/>
    </cacheField>
    <cacheField name="No. of attempted D" numFmtId="0">
      <sharedItems containsSemiMixedTypes="0" containsString="0" containsNumber="1" containsInteger="1" minValue="0" maxValue="2"/>
    </cacheField>
    <cacheField name="Question E" numFmtId="0">
      <sharedItems/>
    </cacheField>
    <cacheField name="No. of attempted E" numFmtId="0">
      <sharedItems containsSemiMixedTypes="0" containsString="0" containsNumber="1" containsInteger="1" minValue="-3" maxValue="0"/>
    </cacheField>
    <cacheField name="Question F" numFmtId="0">
      <sharedItems/>
    </cacheField>
    <cacheField name="No. of attempted F" numFmtId="0">
      <sharedItems containsSemiMixedTypes="0" containsString="0" containsNumber="1" containsInteger="1" minValue="0" maxValue="0"/>
    </cacheField>
    <cacheField name="Total No. of q Attemped" numFmtId="0">
      <sharedItems containsSemiMixedTypes="0" containsString="0" containsNumber="1" containsInteger="1" minValue="1" maxValue="4"/>
    </cacheField>
    <cacheField name="Months" numFmtId="0" databaseField="0">
      <fieldGroup base="5">
        <rangePr groupBy="months" startDate="1899-12-30T00:00:00" endDate="1900-03-10T02:48:17"/>
        <groupItems count="14">
          <s v="&lt;00/01/1900"/>
          <s v="Jan"/>
          <s v="Feb"/>
          <s v="Mar"/>
          <s v="Apr"/>
          <s v="May"/>
          <s v="Jun"/>
          <s v="Jul"/>
          <s v="Aug"/>
          <s v="Sep"/>
          <s v="Oct"/>
          <s v="Nov"/>
          <s v="Dec"/>
          <s v="&gt;10/03/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
  <r>
    <x v="0"/>
    <d v="1899-12-30T00:52:50"/>
    <d v="1899-12-30T00:05:40"/>
    <d v="1899-12-30T02:05:40"/>
    <s v="Team Django"/>
  </r>
  <r>
    <x v="1"/>
    <d v="1899-12-30T00:31:54"/>
    <d v="1899-12-30T00:10:16"/>
    <d v="1899-12-30T01:02:00"/>
    <s v="Jinnah_Coder"/>
  </r>
  <r>
    <x v="2"/>
    <d v="1899-12-30T00:45:50"/>
    <d v="1899-12-30T00:23:15"/>
    <d v="1899-12-30T01:06:25"/>
    <s v="Centers_Unite"/>
  </r>
  <r>
    <x v="3"/>
    <d v="1899-12-30T00:50:28"/>
    <d v="1899-12-30T00:48:40"/>
    <d v="1899-12-30T00:52:15"/>
    <s v="The Invincibles"/>
  </r>
  <r>
    <x v="4"/>
    <d v="1899-12-30T00:56:48"/>
    <d v="1899-12-30T00:56:48"/>
    <d v="1899-12-30T00:56:48"/>
    <s v="Team Django"/>
  </r>
  <r>
    <x v="5"/>
    <d v="1899-12-30T00:00:00"/>
    <d v="1899-12-30T00:00:00"/>
    <d v="1899-12-30T00:00:00"/>
    <s v="No one Can Solve This"/>
  </r>
</pivotCacheRecords>
</file>

<file path=xl/pivotCache/pivotCacheRecords2.xml><?xml version="1.0" encoding="utf-8"?>
<pivotCacheRecords xmlns="http://schemas.openxmlformats.org/spreadsheetml/2006/main" xmlns:r="http://schemas.openxmlformats.org/officeDocument/2006/relationships" count="6">
  <r>
    <x v="0"/>
    <d v="1899-12-30T00:19:55"/>
    <x v="0"/>
    <d v="1899-12-30T00:21:57"/>
    <s v="Team Django"/>
  </r>
  <r>
    <x v="1"/>
    <d v="1899-12-30T00:48:06"/>
    <x v="1"/>
    <d v="1899-12-30T00:48:06"/>
    <s v="M_Hu7Ain"/>
  </r>
  <r>
    <x v="2"/>
    <d v="1899-12-30T00:34:24"/>
    <x v="2"/>
    <d v="1899-12-30T00:43:58"/>
    <s v="The Invincibles"/>
  </r>
  <r>
    <x v="3"/>
    <d v="1899-12-30T00:42:02"/>
    <x v="3"/>
    <d v="1899-12-30T00:56:13"/>
    <s v="Team Django"/>
  </r>
  <r>
    <x v="4"/>
    <d v="1899-12-30T00:00:00"/>
    <x v="4"/>
    <d v="1899-12-30T00:00:00"/>
    <s v="No one can solve"/>
  </r>
  <r>
    <x v="5"/>
    <d v="1899-12-30T00:00:00"/>
    <x v="4"/>
    <d v="1899-12-30T00:00:00"/>
    <s v="No one can solve"/>
  </r>
</pivotCacheRecords>
</file>

<file path=xl/pivotCache/pivotCacheRecords3.xml><?xml version="1.0" encoding="utf-8"?>
<pivotCacheRecords xmlns="http://schemas.openxmlformats.org/spreadsheetml/2006/main" xmlns:r="http://schemas.openxmlformats.org/officeDocument/2006/relationships" count="22">
  <r>
    <n v="1"/>
    <s v="WahajRaza(Team DJANGO)"/>
    <x v="0"/>
    <n v="4"/>
    <x v="0"/>
    <d v="1899-12-30T00:05:40"/>
    <n v="1"/>
    <d v="1899-12-30T00:12:17"/>
    <n v="1"/>
    <d v="1899-12-30T00:32:22"/>
    <n v="4"/>
    <s v="-"/>
    <n v="0"/>
    <d v="1899-12-30T00:56:48"/>
    <n v="1"/>
    <s v="-"/>
    <n v="0"/>
    <n v="4"/>
  </r>
  <r>
    <n v="2"/>
    <s v="Asad_Jafri(The Invincibles)"/>
    <x v="1"/>
    <n v="3"/>
    <x v="1"/>
    <d v="1899-12-30T01:05:40"/>
    <n v="2"/>
    <s v="-"/>
    <n v="0"/>
    <d v="1899-12-30T00:27:32"/>
    <n v="3"/>
    <d v="1899-12-30T00:48:40"/>
    <n v="1"/>
    <s v="-"/>
    <n v="0"/>
    <s v="-"/>
    <n v="0"/>
    <n v="3"/>
  </r>
  <r>
    <n v="3"/>
    <s v="Sraza_29(Fast Walay)"/>
    <x v="2"/>
    <n v="2"/>
    <x v="2"/>
    <d v="1899-12-30T02:05:40"/>
    <n v="1"/>
    <d v="1899-12-30T00:27:24"/>
    <n v="1"/>
    <s v="-"/>
    <n v="-2"/>
    <s v="-"/>
    <n v="-1"/>
    <s v="-"/>
    <n v="0"/>
    <s v="-"/>
    <n v="0"/>
    <n v="4"/>
  </r>
  <r>
    <n v="4"/>
    <s v="Jinnah_Coders"/>
    <x v="3"/>
    <n v="2"/>
    <x v="3"/>
    <s v="-"/>
    <n v="-1"/>
    <d v="1899-12-30T00:10:16"/>
    <n v="1"/>
    <s v="-"/>
    <n v="-1"/>
    <d v="1899-12-30T00:52:15"/>
    <n v="1"/>
    <s v="-"/>
    <n v="0"/>
    <s v="-"/>
    <n v="0"/>
    <n v="4"/>
  </r>
  <r>
    <n v="5"/>
    <s v="Centers_United"/>
    <x v="4"/>
    <n v="2"/>
    <x v="4"/>
    <s v="-"/>
    <n v="-1"/>
    <d v="1899-12-30T00:48:28"/>
    <n v="1"/>
    <d v="1899-12-30T00:23:15"/>
    <n v="-1"/>
    <s v="-"/>
    <n v="0"/>
    <s v="-"/>
    <n v="-2"/>
    <s v="-"/>
    <n v="0"/>
    <n v="4"/>
  </r>
  <r>
    <n v="6"/>
    <s v="Zarghamkazmi(Coder)"/>
    <x v="5"/>
    <n v="2"/>
    <x v="5"/>
    <d v="1899-12-30T00:38:34"/>
    <n v="1"/>
    <s v="-"/>
    <n v="0"/>
    <d v="1899-12-30T01:05:27"/>
    <n v="1"/>
    <s v="-"/>
    <n v="0"/>
    <s v="-"/>
    <n v="0"/>
    <s v="-"/>
    <n v="0"/>
    <n v="2"/>
  </r>
  <r>
    <n v="7"/>
    <s v="faiq_hussain(Coders++)"/>
    <x v="6"/>
    <n v="2"/>
    <x v="6"/>
    <d v="1899-12-30T00:58:08"/>
    <n v="1"/>
    <s v="-"/>
    <n v="0"/>
    <d v="1899-12-30T00:59:56"/>
    <n v="1"/>
    <s v="-"/>
    <n v="0"/>
    <s v="-"/>
    <n v="0"/>
    <s v="-"/>
    <n v="0"/>
    <n v="2"/>
  </r>
  <r>
    <n v="8"/>
    <s v="Ghazi_Sibtain(لماؤ ایکس ڈی)"/>
    <x v="7"/>
    <n v="2"/>
    <x v="7"/>
    <d v="1899-12-30T00:41:51"/>
    <n v="4"/>
    <s v="-"/>
    <n v="0"/>
    <d v="1899-12-30T01:06:25"/>
    <n v="6"/>
    <s v="-"/>
    <n v="0"/>
    <s v="-"/>
    <n v="0"/>
    <s v="-"/>
    <n v="0"/>
    <n v="2"/>
  </r>
  <r>
    <n v="9"/>
    <s v="NotProCoders(!ProCoders)"/>
    <x v="8"/>
    <n v="1"/>
    <x v="8"/>
    <d v="1899-12-30T00:34:19"/>
    <n v="1"/>
    <s v="-"/>
    <n v="0"/>
    <s v="-"/>
    <n v="-4"/>
    <s v="-"/>
    <n v="0"/>
    <s v="-"/>
    <n v="0"/>
    <s v="-"/>
    <n v="0"/>
    <n v="2"/>
  </r>
  <r>
    <n v="10"/>
    <s v="Ali_Zafar(Programming geeks)"/>
    <x v="9"/>
    <n v="1"/>
    <x v="9"/>
    <s v="-"/>
    <n v="-3"/>
    <d v="1899-12-30T00:30:59"/>
    <n v="1"/>
    <s v="-"/>
    <n v="-2"/>
    <s v="-"/>
    <n v="0"/>
    <s v="-"/>
    <n v="0"/>
    <s v="-"/>
    <n v="0"/>
    <n v="3"/>
  </r>
  <r>
    <n v="11"/>
    <s v="Bruce_Wayne911(The Vengeance)"/>
    <x v="10"/>
    <n v="1"/>
    <x v="10"/>
    <s v="-"/>
    <n v="-2"/>
    <d v="1899-12-30T01:02:00"/>
    <n v="1"/>
    <s v="-"/>
    <n v="-5"/>
    <s v="-"/>
    <n v="0"/>
    <s v="-"/>
    <n v="0"/>
    <s v="-"/>
    <n v="-3"/>
    <n v="4"/>
  </r>
  <r>
    <n v="12"/>
    <s v="Hassan17(Logic_Lords)"/>
    <x v="11"/>
    <n v="0"/>
    <x v="11"/>
    <s v="-"/>
    <n v="-1"/>
    <s v="-"/>
    <n v="0"/>
    <s v="-"/>
    <n v="-1"/>
    <s v="-"/>
    <n v="0"/>
    <s v="-"/>
    <n v="0"/>
    <s v="-"/>
    <n v="0"/>
    <n v="2"/>
  </r>
  <r>
    <n v="13"/>
    <s v="M_Fakher_Mehdi(Syeds)"/>
    <x v="12"/>
    <n v="0"/>
    <x v="11"/>
    <s v="-"/>
    <n v="-1"/>
    <s v="-"/>
    <n v="0"/>
    <s v="-"/>
    <n v="-1"/>
    <s v="-"/>
    <n v="0"/>
    <s v="-"/>
    <n v="0"/>
    <s v="-"/>
    <n v="0"/>
    <n v="2"/>
  </r>
  <r>
    <n v="14"/>
    <s v="Muhammad_Taha(Binary Brain)"/>
    <x v="13"/>
    <n v="0"/>
    <x v="11"/>
    <s v="-"/>
    <n v="0"/>
    <s v="-"/>
    <n v="0"/>
    <s v="-"/>
    <n v="-2"/>
    <s v="-"/>
    <n v="0"/>
    <s v="-"/>
    <n v="0"/>
    <s v="-"/>
    <n v="0"/>
    <n v="1"/>
  </r>
  <r>
    <n v="15"/>
    <s v="meesam_rizvi(noobs)"/>
    <x v="14"/>
    <n v="0"/>
    <x v="11"/>
    <s v="-"/>
    <n v="-1"/>
    <s v="-"/>
    <n v="-1"/>
    <s v="-"/>
    <n v="0"/>
    <s v="-"/>
    <n v="0"/>
    <s v="-"/>
    <n v="0"/>
    <s v="-"/>
    <n v="0"/>
    <n v="2"/>
  </r>
  <r>
    <n v="16"/>
    <s v="AhsanZaidi10(Bug Busters)"/>
    <x v="15"/>
    <n v="0"/>
    <x v="11"/>
    <s v="-"/>
    <n v="-1"/>
    <s v="-"/>
    <n v="0"/>
    <s v="-"/>
    <n v="-1"/>
    <s v="-"/>
    <n v="0"/>
    <s v="-"/>
    <n v="0"/>
    <s v="-"/>
    <n v="0"/>
    <n v="2"/>
  </r>
  <r>
    <n v="17"/>
    <s v="Forte__(Forte)"/>
    <x v="16"/>
    <n v="0"/>
    <x v="11"/>
    <s v="-"/>
    <n v="-4"/>
    <s v="-"/>
    <n v="0"/>
    <s v="-"/>
    <n v="0"/>
    <s v="-"/>
    <n v="-6"/>
    <s v="-"/>
    <n v="0"/>
    <s v="-"/>
    <n v="0"/>
    <n v="2"/>
  </r>
  <r>
    <n v="18"/>
    <s v="M_Hu7ain(MH)"/>
    <x v="17"/>
    <n v="0"/>
    <x v="11"/>
    <s v="-"/>
    <n v="-1"/>
    <s v="-"/>
    <n v="0"/>
    <s v="-"/>
    <n v="0"/>
    <s v="-"/>
    <n v="0"/>
    <s v="-"/>
    <n v="0"/>
    <s v="-"/>
    <n v="0"/>
    <n v="1"/>
  </r>
  <r>
    <n v="19"/>
    <s v="Aman_Ali(404 not found)"/>
    <x v="18"/>
    <n v="0"/>
    <x v="11"/>
    <s v="-"/>
    <n v="-3"/>
    <s v="-"/>
    <n v="-1"/>
    <s v="-"/>
    <n v="0"/>
    <s v="-"/>
    <n v="0"/>
    <s v="-"/>
    <n v="0"/>
    <s v="-"/>
    <n v="0"/>
    <n v="2"/>
  </r>
  <r>
    <n v="20"/>
    <s v="Murtaza_Rizvi(GateSmashers)"/>
    <x v="19"/>
    <n v="0"/>
    <x v="11"/>
    <s v="-"/>
    <n v="-1"/>
    <s v="-"/>
    <n v="-1"/>
    <s v="-"/>
    <n v="0"/>
    <s v="-"/>
    <n v="-1"/>
    <s v="-"/>
    <n v="0"/>
    <s v="-"/>
    <n v="0"/>
    <n v="3"/>
  </r>
  <r>
    <n v="21"/>
    <s v="Codeology(Coders)"/>
    <x v="20"/>
    <n v="0"/>
    <x v="11"/>
    <s v="-"/>
    <n v="-1"/>
    <s v="-"/>
    <n v="-1"/>
    <s v="-"/>
    <n v="-1"/>
    <s v="-"/>
    <n v="0"/>
    <s v="-"/>
    <n v="0"/>
    <s v="-"/>
    <n v="0"/>
    <n v="3"/>
  </r>
  <r>
    <n v="22"/>
    <s v="codecrafters110(huzaifa)"/>
    <x v="21"/>
    <n v="0"/>
    <x v="11"/>
    <s v="-"/>
    <n v="-2"/>
    <s v="-"/>
    <n v="-1"/>
    <s v="-"/>
    <n v="-2"/>
    <s v="-"/>
    <n v="0"/>
    <s v="-"/>
    <n v="0"/>
    <s v="-"/>
    <n v="0"/>
    <n v="3"/>
  </r>
</pivotCacheRecords>
</file>

<file path=xl/pivotCache/pivotCacheRecords4.xml><?xml version="1.0" encoding="utf-8"?>
<pivotCacheRecords xmlns="http://schemas.openxmlformats.org/spreadsheetml/2006/main" xmlns:r="http://schemas.openxmlformats.org/officeDocument/2006/relationships" count="21">
  <r>
    <n v="14"/>
    <s v="AhsanZaidi10(Bug Busters)"/>
    <x v="0"/>
    <n v="0"/>
    <n v="0"/>
    <x v="0"/>
    <s v="-"/>
    <n v="-2"/>
    <s v="-"/>
    <n v="-2"/>
    <s v="-"/>
    <n v="0"/>
    <s v="-"/>
    <n v="0"/>
    <s v="-"/>
    <n v="0"/>
    <s v="-"/>
    <n v="0"/>
    <n v="2"/>
  </r>
  <r>
    <n v="16"/>
    <s v="Ali_Zafar(Programming geeks)"/>
    <x v="1"/>
    <n v="1"/>
    <n v="0"/>
    <x v="0"/>
    <s v="-"/>
    <n v="-3"/>
    <s v="-"/>
    <n v="0"/>
    <s v="-"/>
    <n v="0"/>
    <s v="-"/>
    <n v="0"/>
    <s v="-"/>
    <n v="0"/>
    <s v="-"/>
    <n v="0"/>
    <n v="1"/>
  </r>
  <r>
    <n v="18"/>
    <s v="Aman_Ali(404 not found)"/>
    <x v="2"/>
    <n v="0"/>
    <n v="0"/>
    <x v="0"/>
    <s v="-"/>
    <n v="-3"/>
    <s v="-"/>
    <n v="0"/>
    <s v="-"/>
    <n v="0"/>
    <s v="-"/>
    <n v="0"/>
    <s v="-"/>
    <n v="0"/>
    <s v="-"/>
    <n v="0"/>
    <n v="1"/>
  </r>
  <r>
    <n v="3"/>
    <s v="Asad_Jafri(The Invincibles)"/>
    <x v="3"/>
    <n v="3"/>
    <n v="4"/>
    <x v="1"/>
    <s v="-"/>
    <n v="-2"/>
    <s v="-"/>
    <n v="0"/>
    <d v="1899-12-30T00:23:18"/>
    <n v="1"/>
    <d v="1899-12-30T00:43:11"/>
    <n v="2"/>
    <s v="-"/>
    <n v="0"/>
    <s v="-"/>
    <n v="0"/>
    <n v="3"/>
  </r>
  <r>
    <n v="6"/>
    <s v="Bruce_Wayne911(The Vengeance)"/>
    <x v="4"/>
    <n v="1"/>
    <n v="2"/>
    <x v="2"/>
    <s v="-"/>
    <n v="0"/>
    <s v="-"/>
    <n v="0"/>
    <s v="-"/>
    <n v="-3"/>
    <d v="1899-12-30T00:48:25"/>
    <n v="2"/>
    <s v="-"/>
    <n v="0"/>
    <s v="-"/>
    <n v="0"/>
    <n v="2"/>
  </r>
  <r>
    <n v="8"/>
    <s v="Centers_United"/>
    <x v="5"/>
    <n v="2"/>
    <n v="2"/>
    <x v="3"/>
    <s v="-"/>
    <n v="-1"/>
    <s v="-"/>
    <n v="-1"/>
    <s v="-"/>
    <n v="-1"/>
    <d v="1899-12-30T00:54:26"/>
    <n v="2"/>
    <s v="-"/>
    <n v="0"/>
    <s v="-"/>
    <n v="0"/>
    <n v="4"/>
  </r>
  <r>
    <n v="21"/>
    <s v="Codeology(Coders)"/>
    <x v="6"/>
    <n v="0"/>
    <n v="0"/>
    <x v="0"/>
    <s v="-"/>
    <n v="-1"/>
    <s v="-"/>
    <n v="0"/>
    <s v="-"/>
    <n v="0"/>
    <s v="-"/>
    <n v="0"/>
    <s v="-"/>
    <n v="0"/>
    <s v="-"/>
    <n v="0"/>
    <n v="1"/>
  </r>
  <r>
    <n v="7"/>
    <s v="faiq_hussain(Coders++)"/>
    <x v="7"/>
    <n v="2"/>
    <n v="2"/>
    <x v="4"/>
    <s v="-"/>
    <n v="-2"/>
    <s v="-"/>
    <n v="0"/>
    <s v="-"/>
    <n v="0"/>
    <d v="1899-12-30T00:53:26"/>
    <n v="2"/>
    <s v="-"/>
    <n v="0"/>
    <s v="-"/>
    <n v="0"/>
    <n v="2"/>
  </r>
  <r>
    <n v="15"/>
    <s v="Forte__(Forte)"/>
    <x v="8"/>
    <n v="0"/>
    <n v="0"/>
    <x v="0"/>
    <s v="-"/>
    <n v="-3"/>
    <s v="-"/>
    <n v="0"/>
    <s v="-"/>
    <n v="0"/>
    <s v="-"/>
    <n v="0"/>
    <s v="-"/>
    <n v="0"/>
    <s v="-"/>
    <n v="0"/>
    <n v="1"/>
  </r>
  <r>
    <n v="20"/>
    <s v="Ghazi_Sibtain(لماؤ ایکس ڈی)"/>
    <x v="9"/>
    <n v="2"/>
    <n v="0"/>
    <x v="0"/>
    <s v="-"/>
    <n v="0"/>
    <s v="-"/>
    <n v="-1"/>
    <s v="-"/>
    <n v="0"/>
    <s v="-"/>
    <n v="0"/>
    <s v="-"/>
    <n v="0"/>
    <s v="-"/>
    <n v="0"/>
    <n v="1"/>
  </r>
  <r>
    <n v="10"/>
    <s v="Hassan17(Logic_Lords)"/>
    <x v="10"/>
    <n v="0"/>
    <n v="0"/>
    <x v="0"/>
    <s v="-"/>
    <n v="-2"/>
    <s v="-"/>
    <n v="0"/>
    <s v="-"/>
    <n v="0"/>
    <s v="-"/>
    <n v="0"/>
    <s v="-"/>
    <n v="0"/>
    <s v="-"/>
    <n v="0"/>
    <n v="1"/>
  </r>
  <r>
    <n v="5"/>
    <s v="Jinnah_Coders"/>
    <x v="11"/>
    <n v="2"/>
    <n v="2"/>
    <x v="5"/>
    <s v="-"/>
    <n v="-1"/>
    <s v="-"/>
    <n v="0"/>
    <s v="-"/>
    <n v="0"/>
    <d v="1899-12-30T00:22:40"/>
    <n v="2"/>
    <s v="-"/>
    <n v="0"/>
    <s v="-"/>
    <n v="0"/>
    <n v="2"/>
  </r>
  <r>
    <n v="11"/>
    <s v="M_Fakher_Mehdi(Syeds)"/>
    <x v="12"/>
    <n v="0"/>
    <n v="0"/>
    <x v="0"/>
    <s v="-"/>
    <n v="-2"/>
    <s v="-"/>
    <n v="0"/>
    <s v="-"/>
    <n v="0"/>
    <s v="-"/>
    <n v="0"/>
    <s v="-"/>
    <n v="0"/>
    <s v="-"/>
    <n v="0"/>
    <n v="1"/>
  </r>
  <r>
    <n v="2"/>
    <s v="M_Hu7ain(MH)"/>
    <x v="13"/>
    <n v="0"/>
    <n v="6"/>
    <x v="6"/>
    <s v="-"/>
    <n v="0"/>
    <d v="1899-12-30T00:48:06"/>
    <n v="1"/>
    <d v="1899-12-30T00:43:58"/>
    <n v="2"/>
    <d v="1899-12-30T00:56:13"/>
    <n v="2"/>
    <s v="-"/>
    <n v="0"/>
    <s v="-"/>
    <n v="0"/>
    <n v="3"/>
  </r>
  <r>
    <n v="13"/>
    <s v="meesam_rizvi(noobs)"/>
    <x v="14"/>
    <n v="0"/>
    <n v="0"/>
    <x v="0"/>
    <s v="-"/>
    <n v="-1"/>
    <s v="-"/>
    <n v="0"/>
    <s v="-"/>
    <n v="-1"/>
    <s v="-"/>
    <n v="0"/>
    <s v="-"/>
    <n v="0"/>
    <s v="-"/>
    <n v="0"/>
    <n v="2"/>
  </r>
  <r>
    <n v="12"/>
    <s v="Muhammad_Taha(Binary Brain)"/>
    <x v="15"/>
    <n v="0"/>
    <n v="0"/>
    <x v="0"/>
    <s v="-"/>
    <n v="-1"/>
    <s v="-"/>
    <n v="0"/>
    <s v="-"/>
    <n v="0"/>
    <s v="-"/>
    <n v="0"/>
    <s v="-"/>
    <n v="0"/>
    <s v="-"/>
    <n v="0"/>
    <n v="1"/>
  </r>
  <r>
    <n v="19"/>
    <s v="Murtaza_Rizvi(GateSmashers)"/>
    <x v="16"/>
    <n v="0"/>
    <n v="0"/>
    <x v="0"/>
    <s v="-"/>
    <n v="-1"/>
    <s v="-"/>
    <n v="0"/>
    <s v="-"/>
    <n v="-1"/>
    <s v="-"/>
    <n v="0"/>
    <s v="-"/>
    <n v="0"/>
    <s v="-"/>
    <n v="0"/>
    <n v="2"/>
  </r>
  <r>
    <n v="17"/>
    <s v="NotProCoders(!ProCoders)"/>
    <x v="17"/>
    <n v="1"/>
    <n v="0"/>
    <x v="0"/>
    <s v="-"/>
    <n v="-1"/>
    <s v="-"/>
    <n v="0"/>
    <s v="-"/>
    <n v="0"/>
    <s v="-"/>
    <n v="0"/>
    <s v="-"/>
    <n v="0"/>
    <s v="-"/>
    <n v="0"/>
    <n v="1"/>
  </r>
  <r>
    <n v="9"/>
    <s v="Sraza_29(Fast Walay)"/>
    <x v="18"/>
    <n v="2"/>
    <n v="0"/>
    <x v="0"/>
    <s v="-"/>
    <n v="0"/>
    <s v="-"/>
    <n v="0"/>
    <s v="-"/>
    <n v="-4"/>
    <s v="-"/>
    <n v="0"/>
    <s v="-"/>
    <n v="0"/>
    <s v="-"/>
    <n v="0"/>
    <n v="1"/>
  </r>
  <r>
    <n v="1"/>
    <s v="WahajRaza(Team DJANGO)"/>
    <x v="19"/>
    <n v="4"/>
    <n v="6"/>
    <x v="7"/>
    <d v="1899-12-30T00:17:53"/>
    <n v="1"/>
    <s v="-"/>
    <n v="0"/>
    <d v="1899-12-30T00:35:55"/>
    <n v="2"/>
    <d v="1899-12-30T00:09:11"/>
    <n v="2"/>
    <s v="-"/>
    <n v="-3"/>
    <s v="-"/>
    <n v="0"/>
    <n v="4"/>
  </r>
  <r>
    <n v="4"/>
    <s v="Zarghamkazmi(Coder)"/>
    <x v="20"/>
    <n v="2"/>
    <n v="4"/>
    <x v="8"/>
    <d v="1899-12-30T00:21:57"/>
    <n v="2"/>
    <s v="-"/>
    <n v="-4"/>
    <s v="-"/>
    <n v="-2"/>
    <d v="1899-12-30T00:48:43"/>
    <n v="2"/>
    <s v="-"/>
    <n v="0"/>
    <s v="-"/>
    <n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5" firstHeaderRow="0" firstDataRow="1" firstDataCol="1"/>
  <pivotFields count="19">
    <pivotField showAll="0"/>
    <pivotField showAll="0"/>
    <pivotField axis="axisRow" showAll="0">
      <items count="23">
        <item h="1" x="8"/>
        <item h="1" x="18"/>
        <item h="1" x="13"/>
        <item h="1" x="15"/>
        <item h="1" x="4"/>
        <item h="1" x="5"/>
        <item h="1" x="20"/>
        <item h="1" x="6"/>
        <item h="1" x="2"/>
        <item h="1" x="16"/>
        <item h="1" x="19"/>
        <item h="1" x="21"/>
        <item h="1" x="3"/>
        <item h="1" x="7"/>
        <item x="11"/>
        <item h="1" x="17"/>
        <item h="1" x="14"/>
        <item h="1" x="9"/>
        <item h="1" x="12"/>
        <item h="1" x="0"/>
        <item h="1" x="1"/>
        <item h="1" x="10"/>
        <item t="default"/>
      </items>
    </pivotField>
    <pivotField dataField="1" showAll="0"/>
    <pivotField numFmtId="2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 showAll="0"/>
    <pivotField showAll="0"/>
    <pivotField numFmtId="1" showAll="0"/>
    <pivotField showAll="0"/>
    <pivotField numFmtId="1" showAll="0"/>
    <pivotField showAll="0"/>
    <pivotField numFmtId="1" showAll="0"/>
    <pivotField showAll="0"/>
    <pivotField numFmtId="1" showAll="0"/>
    <pivotField showAll="0"/>
    <pivotField numFmtI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2">
    <i>
      <x v="14"/>
    </i>
    <i t="grand">
      <x/>
    </i>
  </rowItems>
  <colFields count="1">
    <field x="-2"/>
  </colFields>
  <colItems count="2">
    <i>
      <x/>
    </i>
    <i i="1">
      <x v="1"/>
    </i>
  </colItems>
  <dataFields count="2">
    <dataField name="Total Score" fld="3" baseField="2" baseItem="0"/>
    <dataField name="Question Attemped" fld="17" baseField="2" baseItem="0"/>
  </dataFields>
  <chartFormats count="4">
    <chartFormat chart="0" format="14"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 chart="14" format="21" series="1">
      <pivotArea type="data" outline="0" fieldPosition="0">
        <references count="1">
          <reference field="4294967294" count="1" selected="0">
            <x v="0"/>
          </reference>
        </references>
      </pivotArea>
    </chartFormat>
    <chartFormat chart="14" format="2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5" firstHeaderRow="0" firstDataRow="1" firstDataCol="1"/>
  <pivotFields count="19">
    <pivotField showAll="0"/>
    <pivotField showAll="0"/>
    <pivotField axis="axisRow" showAll="0">
      <items count="23">
        <item h="1" x="8"/>
        <item h="1" x="18"/>
        <item h="1" x="13"/>
        <item h="1" x="15"/>
        <item h="1" x="4"/>
        <item h="1" x="5"/>
        <item h="1" x="20"/>
        <item h="1" x="6"/>
        <item h="1" x="2"/>
        <item h="1" x="16"/>
        <item h="1" x="19"/>
        <item h="1" x="21"/>
        <item h="1" x="3"/>
        <item h="1" x="7"/>
        <item x="11"/>
        <item h="1" x="17"/>
        <item h="1" x="14"/>
        <item h="1" x="9"/>
        <item h="1" x="12"/>
        <item h="1" x="0"/>
        <item h="1" x="1"/>
        <item h="1" x="10"/>
        <item t="default"/>
      </items>
    </pivotField>
    <pivotField showAll="0"/>
    <pivotField numFmtId="21" showAll="0"/>
    <pivotField showAll="0"/>
    <pivotField dataField="1" numFmtId="1" showAll="0"/>
    <pivotField showAll="0"/>
    <pivotField dataField="1" numFmtId="1" showAll="0"/>
    <pivotField showAll="0"/>
    <pivotField dataField="1" numFmtId="1" showAll="0"/>
    <pivotField showAll="0"/>
    <pivotField dataField="1" numFmtId="1" showAll="0"/>
    <pivotField showAll="0"/>
    <pivotField dataField="1" numFmtId="1" showAll="0"/>
    <pivotField showAll="0"/>
    <pivotField dataField="1" numFmtId="1" showAll="0"/>
    <pivotField numFmtId="1" showAll="0"/>
    <pivotField showAll="0" defaultSubtotal="0"/>
  </pivotFields>
  <rowFields count="1">
    <field x="2"/>
  </rowFields>
  <rowItems count="2">
    <i>
      <x v="14"/>
    </i>
    <i t="grand">
      <x/>
    </i>
  </rowItems>
  <colFields count="1">
    <field x="-2"/>
  </colFields>
  <colItems count="6">
    <i>
      <x/>
    </i>
    <i i="1">
      <x v="1"/>
    </i>
    <i i="2">
      <x v="2"/>
    </i>
    <i i="3">
      <x v="3"/>
    </i>
    <i i="4">
      <x v="4"/>
    </i>
    <i i="5">
      <x v="5"/>
    </i>
  </colItems>
  <dataFields count="6">
    <dataField name="Sum of No. of attempted A" fld="6" baseField="0" baseItem="0"/>
    <dataField name="Sum of No. of attempted B" fld="8" baseField="0" baseItem="0"/>
    <dataField name="Sum of No. of attempted C" fld="10" baseField="0" baseItem="0"/>
    <dataField name="Sum of No. of attempted D" fld="12" baseField="0" baseItem="0"/>
    <dataField name="Sum of No. of attempted E" fld="14" baseField="0" baseItem="0"/>
    <dataField name="Sum of No. of attempted F" fld="16" baseField="0" baseItem="0"/>
  </dataFields>
  <chartFormats count="12">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 chart="0" format="10" series="1">
      <pivotArea type="data" outline="0" fieldPosition="0">
        <references count="1">
          <reference field="4294967294" count="1" selected="0">
            <x v="4"/>
          </reference>
        </references>
      </pivotArea>
    </chartFormat>
    <chartFormat chart="0" format="11"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 firstHeaderRow="1" firstDataRow="1" firstDataCol="1"/>
  <pivotFields count="19">
    <pivotField showAll="0"/>
    <pivotField showAll="0"/>
    <pivotField axis="axisRow" showAll="0" sortType="descending">
      <items count="23">
        <item h="1" x="8"/>
        <item h="1" x="18"/>
        <item h="1" x="13"/>
        <item h="1" x="15"/>
        <item h="1" x="4"/>
        <item h="1" x="5"/>
        <item h="1" x="20"/>
        <item h="1" x="6"/>
        <item h="1" x="2"/>
        <item h="1" x="16"/>
        <item h="1" x="19"/>
        <item h="1" x="21"/>
        <item h="1" x="3"/>
        <item h="1" x="7"/>
        <item x="11"/>
        <item h="1" x="17"/>
        <item h="1" x="14"/>
        <item h="1" x="9"/>
        <item h="1" x="12"/>
        <item h="1" x="0"/>
        <item h="1" x="1"/>
        <item h="1" x="10"/>
        <item t="default"/>
      </items>
      <autoSortScope>
        <pivotArea dataOnly="0" outline="0" fieldPosition="0">
          <references count="1">
            <reference field="4294967294" count="1" selected="0">
              <x v="0"/>
            </reference>
          </references>
        </pivotArea>
      </autoSortScope>
    </pivotField>
    <pivotField showAll="0"/>
    <pivotField dataField="1" numFmtId="2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 showAll="0"/>
    <pivotField showAll="0"/>
    <pivotField numFmtId="1" showAll="0"/>
    <pivotField showAll="0"/>
    <pivotField numFmtId="1" showAll="0"/>
    <pivotField showAll="0"/>
    <pivotField numFmtId="1" showAll="0"/>
    <pivotField showAll="0"/>
    <pivotField numFmtId="1" showAll="0"/>
    <pivotField showAll="0"/>
    <pivotField numFmtId="1" showAll="0"/>
    <pivotField numFmtI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2">
    <i>
      <x v="14"/>
    </i>
    <i t="grand">
      <x/>
    </i>
  </rowItems>
  <colItems count="1">
    <i/>
  </colItems>
  <dataFields count="1">
    <dataField name="Sum of Penalty" fld="4" baseField="2" baseItem="0" numFmtId="21"/>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D15" firstHeaderRow="0" firstDataRow="1" firstDataCol="1"/>
  <pivotFields count="5">
    <pivotField axis="axisRow" showAll="0">
      <items count="7">
        <item h="1" x="0"/>
        <item h="1" x="1"/>
        <item h="1" x="2"/>
        <item x="3"/>
        <item h="1" x="4"/>
        <item h="1" x="5"/>
        <item t="default"/>
      </items>
    </pivotField>
    <pivotField dataField="1" numFmtId="164" showAll="0"/>
    <pivotField dataField="1" numFmtId="164" showAll="0"/>
    <pivotField dataField="1" numFmtId="164" showAll="0"/>
    <pivotField showAll="0"/>
  </pivotFields>
  <rowFields count="1">
    <field x="0"/>
  </rowFields>
  <rowItems count="2">
    <i>
      <x v="3"/>
    </i>
    <i t="grand">
      <x/>
    </i>
  </rowItems>
  <colFields count="1">
    <field x="-2"/>
  </colFields>
  <colItems count="3">
    <i>
      <x/>
    </i>
    <i i="1">
      <x v="1"/>
    </i>
    <i i="2">
      <x v="2"/>
    </i>
  </colItems>
  <dataFields count="3">
    <dataField name="Avg Time" fld="1" baseField="0" baseItem="0" numFmtId="45"/>
    <dataField name="Minimum Time of sol." fld="2" baseField="0" baseItem="0" numFmtId="164"/>
    <dataField name="Maximum Time of sol." fld="3" baseField="0" baseItem="0" numFmtId="164"/>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25" firstHeaderRow="0" firstDataRow="1" firstDataCol="1"/>
  <pivotFields count="20">
    <pivotField showAll="0"/>
    <pivotField showAll="0"/>
    <pivotField axis="axisRow" showAll="0">
      <items count="22">
        <item x="17"/>
        <item x="2"/>
        <item x="15"/>
        <item x="0"/>
        <item x="5"/>
        <item x="20"/>
        <item x="6"/>
        <item x="7"/>
        <item x="18"/>
        <item x="8"/>
        <item x="16"/>
        <item x="11"/>
        <item x="9"/>
        <item x="10"/>
        <item x="13"/>
        <item x="12"/>
        <item x="14"/>
        <item x="1"/>
        <item x="19"/>
        <item x="3"/>
        <item x="4"/>
        <item t="default"/>
      </items>
    </pivotField>
    <pivotField dataField="1" showAll="0" defaultSubtota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Round1_Score" fld="3" baseField="2" baseItem="6"/>
    <dataField name="Round2_Score" fld="4" baseField="2" baseItem="6"/>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25" firstHeaderRow="0" firstDataRow="1" firstDataCol="1"/>
  <pivotFields count="2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22">
        <item x="17"/>
        <item x="2"/>
        <item x="15"/>
        <item x="0"/>
        <item x="5"/>
        <item x="20"/>
        <item x="6"/>
        <item x="7"/>
        <item x="18"/>
        <item x="8"/>
        <item x="16"/>
        <item x="11"/>
        <item x="9"/>
        <item x="10"/>
        <item x="13"/>
        <item x="12"/>
        <item x="14"/>
        <item x="1"/>
        <item x="19"/>
        <item x="3"/>
        <item x="4"/>
        <item t="default"/>
      </items>
      <autoSortScope>
        <pivotArea dataOnly="0" outline="0" fieldPosition="0">
          <references count="1">
            <reference field="4294967294" count="1" selected="0">
              <x v="0"/>
            </reference>
          </references>
        </pivotArea>
      </autoSortScope>
    </pivotField>
    <pivotField showAll="0" defaultSubtota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items count="14">
        <item x="0"/>
        <item x="1"/>
        <item x="2"/>
        <item x="3"/>
        <item x="4"/>
        <item x="5"/>
        <item x="6"/>
        <item x="7"/>
        <item x="8"/>
        <item x="9"/>
        <item x="10"/>
        <item x="11"/>
        <item x="12"/>
        <item x="13"/>
      </items>
    </pivotField>
  </pivotFields>
  <rowFields count="1">
    <field x="2"/>
  </rowFields>
  <rowItems count="22">
    <i>
      <x v="18"/>
    </i>
    <i>
      <x v="14"/>
    </i>
    <i>
      <x v="19"/>
    </i>
    <i>
      <x v="5"/>
    </i>
    <i>
      <x v="11"/>
    </i>
    <i>
      <x v="4"/>
    </i>
    <i>
      <x v="7"/>
    </i>
    <i>
      <x v="20"/>
    </i>
    <i>
      <x v="15"/>
    </i>
    <i>
      <x v="8"/>
    </i>
    <i>
      <x v="17"/>
    </i>
    <i>
      <x v="1"/>
    </i>
    <i>
      <x v="6"/>
    </i>
    <i>
      <x/>
    </i>
    <i>
      <x v="16"/>
    </i>
    <i>
      <x v="2"/>
    </i>
    <i>
      <x v="3"/>
    </i>
    <i>
      <x v="12"/>
    </i>
    <i>
      <x v="13"/>
    </i>
    <i>
      <x v="9"/>
    </i>
    <i>
      <x v="10"/>
    </i>
    <i t="grand">
      <x/>
    </i>
  </rowItems>
  <colFields count="1">
    <field x="-2"/>
  </colFields>
  <colItems count="2">
    <i>
      <x/>
    </i>
    <i i="1">
      <x v="1"/>
    </i>
  </colItems>
  <dataFields count="2">
    <dataField name="Total Score" fld="4" baseField="2" baseItem="18"/>
    <dataField name="Question Attemped" fld="18" baseField="2" baseItem="18"/>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25" firstHeaderRow="0" firstDataRow="1" firstDataCol="1"/>
  <pivotFields count="20">
    <pivotField showAll="0"/>
    <pivotField showAll="0"/>
    <pivotField axis="axisRow" showAll="0">
      <items count="22">
        <item x="17"/>
        <item x="2"/>
        <item x="15"/>
        <item x="0"/>
        <item x="5"/>
        <item x="20"/>
        <item x="6"/>
        <item x="7"/>
        <item x="18"/>
        <item x="8"/>
        <item x="16"/>
        <item x="11"/>
        <item x="9"/>
        <item x="10"/>
        <item x="13"/>
        <item x="12"/>
        <item x="14"/>
        <item x="1"/>
        <item x="19"/>
        <item x="3"/>
        <item x="4"/>
        <item t="default"/>
      </items>
    </pivotField>
    <pivotField showAll="0" defaultSubtota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pivotField dataField="1" showAll="0" defaultSubtotal="0"/>
    <pivotField showAll="0" defaultSubtotal="0"/>
    <pivotField dataField="1" showAll="0" defaultSubtotal="0"/>
    <pivotField showAll="0" defaultSubtotal="0"/>
    <pivotField dataField="1" showAll="0" defaultSubtotal="0"/>
    <pivotField showAll="0" defaultSubtotal="0"/>
    <pivotField dataField="1" showAll="0" defaultSubtotal="0"/>
    <pivotField showAll="0" defaultSubtotal="0"/>
    <pivotField dataField="1" showAll="0" defaultSubtotal="0"/>
    <pivotField showAll="0" defaultSubtotal="0"/>
    <pivotField dataField="1" showAll="0" defaultSubtotal="0"/>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6">
    <i>
      <x/>
    </i>
    <i i="1">
      <x v="1"/>
    </i>
    <i i="2">
      <x v="2"/>
    </i>
    <i i="3">
      <x v="3"/>
    </i>
    <i i="4">
      <x v="4"/>
    </i>
    <i i="5">
      <x v="5"/>
    </i>
  </colItems>
  <dataFields count="6">
    <dataField name="No. of A attempted " fld="7" baseField="2" baseItem="0"/>
    <dataField name="No. of B attempted" fld="9" baseField="2" baseItem="0"/>
    <dataField name="No. of C attempted" fld="11" baseField="2" baseItem="0"/>
    <dataField name="No. of D attempted" fld="13" baseField="2" baseItem="0"/>
    <dataField name="No. of E attempted" fld="15" baseField="2" baseItem="0"/>
    <dataField name="No. of F attempted" fld="17" baseField="2" baseItem="0"/>
  </dataFields>
  <chartFormats count="12">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1"/>
          </reference>
        </references>
      </pivotArea>
    </chartFormat>
    <chartFormat chart="0" format="21" series="1">
      <pivotArea type="data" outline="0" fieldPosition="0">
        <references count="1">
          <reference field="4294967294" count="1" selected="0">
            <x v="2"/>
          </reference>
        </references>
      </pivotArea>
    </chartFormat>
    <chartFormat chart="0" format="22" series="1">
      <pivotArea type="data" outline="0" fieldPosition="0">
        <references count="1">
          <reference field="4294967294" count="1" selected="0">
            <x v="3"/>
          </reference>
        </references>
      </pivotArea>
    </chartFormat>
    <chartFormat chart="0" format="23" series="1">
      <pivotArea type="data" outline="0" fieldPosition="0">
        <references count="1">
          <reference field="4294967294" count="1" selected="0">
            <x v="4"/>
          </reference>
        </references>
      </pivotArea>
    </chartFormat>
    <chartFormat chart="0" format="24" series="1">
      <pivotArea type="data" outline="0" fieldPosition="0">
        <references count="1">
          <reference field="4294967294" count="1" selected="0">
            <x v="5"/>
          </reference>
        </references>
      </pivotArea>
    </chartFormat>
    <chartFormat chart="2" format="25" series="1">
      <pivotArea type="data" outline="0" fieldPosition="0">
        <references count="1">
          <reference field="4294967294" count="1" selected="0">
            <x v="0"/>
          </reference>
        </references>
      </pivotArea>
    </chartFormat>
    <chartFormat chart="2" format="26" series="1">
      <pivotArea type="data" outline="0" fieldPosition="0">
        <references count="1">
          <reference field="4294967294" count="1" selected="0">
            <x v="1"/>
          </reference>
        </references>
      </pivotArea>
    </chartFormat>
    <chartFormat chart="2" format="27" series="1">
      <pivotArea type="data" outline="0" fieldPosition="0">
        <references count="1">
          <reference field="4294967294" count="1" selected="0">
            <x v="2"/>
          </reference>
        </references>
      </pivotArea>
    </chartFormat>
    <chartFormat chart="2" format="28" series="1">
      <pivotArea type="data" outline="0" fieldPosition="0">
        <references count="1">
          <reference field="4294967294" count="1" selected="0">
            <x v="3"/>
          </reference>
        </references>
      </pivotArea>
    </chartFormat>
    <chartFormat chart="2" format="29" series="1">
      <pivotArea type="data" outline="0" fieldPosition="0">
        <references count="1">
          <reference field="4294967294" count="1" selected="0">
            <x v="4"/>
          </reference>
        </references>
      </pivotArea>
    </chartFormat>
    <chartFormat chart="2" format="3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5" firstHeaderRow="1" firstDataRow="1" firstDataCol="1"/>
  <pivotFields count="20">
    <pivotField showAll="0"/>
    <pivotField showAll="0"/>
    <pivotField axis="axisRow" showAll="0">
      <items count="22">
        <item x="17"/>
        <item x="2"/>
        <item x="15"/>
        <item x="0"/>
        <item x="5"/>
        <item x="20"/>
        <item x="6"/>
        <item x="7"/>
        <item x="18"/>
        <item x="8"/>
        <item x="16"/>
        <item x="11"/>
        <item x="9"/>
        <item x="10"/>
        <item x="13"/>
        <item x="12"/>
        <item x="14"/>
        <item x="1"/>
        <item x="19"/>
        <item x="3"/>
        <item x="4"/>
        <item t="default"/>
      </items>
    </pivotField>
    <pivotField showAll="0" defaultSubtota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Penalty" fld="5" baseField="2" baseItem="12" numFmtId="46"/>
  </dataFields>
  <chartFormats count="2">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6:D33" firstHeaderRow="0" firstDataRow="1" firstDataCol="1"/>
  <pivotFields count="7">
    <pivotField axis="axisRow" showAll="0">
      <items count="7">
        <item x="0"/>
        <item x="1"/>
        <item x="2"/>
        <item x="3"/>
        <item x="4"/>
        <item x="5"/>
        <item t="default"/>
      </items>
    </pivotField>
    <pivotField dataField="1" numFmtId="164" showAll="0"/>
    <pivotField dataField="1"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numFmtId="164" showAll="0"/>
    <pivotField showAll="0" defaultSubtota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0"/>
  </rowFields>
  <rowItems count="7">
    <i>
      <x/>
    </i>
    <i>
      <x v="1"/>
    </i>
    <i>
      <x v="2"/>
    </i>
    <i>
      <x v="3"/>
    </i>
    <i>
      <x v="4"/>
    </i>
    <i>
      <x v="5"/>
    </i>
    <i t="grand">
      <x/>
    </i>
  </rowItems>
  <colFields count="1">
    <field x="-2"/>
  </colFields>
  <colItems count="3">
    <i>
      <x/>
    </i>
    <i i="1">
      <x v="1"/>
    </i>
    <i i="2">
      <x v="2"/>
    </i>
  </colItems>
  <dataFields count="3">
    <dataField name="Sum of Avg Time of solution" fld="1" baseField="0" baseItem="0" numFmtId="164"/>
    <dataField name="Sum of Minimum Time" fld="2" baseField="0" baseItem="0" numFmtId="164"/>
    <dataField name="Sum of Maximum Time" fld="3" baseField="0" baseItem="0" numFmtId="164"/>
  </dataFields>
  <formats count="4">
    <format dxfId="7">
      <pivotArea collapsedLevelsAreSubtotals="1" fieldPosition="0">
        <references count="1">
          <reference field="0" count="1">
            <x v="0"/>
          </reference>
        </references>
      </pivotArea>
    </format>
    <format dxfId="6">
      <pivotArea outline="0" fieldPosition="0">
        <references count="1">
          <reference field="4294967294" count="1">
            <x v="0"/>
          </reference>
        </references>
      </pivotArea>
    </format>
    <format dxfId="5">
      <pivotArea outline="0" fieldPosition="0">
        <references count="1">
          <reference field="4294967294" count="1">
            <x v="1"/>
          </reference>
        </references>
      </pivotArea>
    </format>
    <format dxfId="4">
      <pivotArea outline="0" fieldPosition="0">
        <references count="1">
          <reference field="4294967294" count="1">
            <x v="2"/>
          </reference>
        </references>
      </pivotArea>
    </format>
  </format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eams_Title" sourceName="Teams Title">
  <pivotTables>
    <pivotTable tabId="3" name="PivotTable1"/>
    <pivotTable tabId="9" name="PivotTable13"/>
    <pivotTable tabId="15" name="PivotTable22"/>
    <pivotTable tabId="22" name="PivotTable7"/>
  </pivotTables>
  <data>
    <tabular pivotCacheId="1">
      <items count="21">
        <i x="17" s="1"/>
        <i x="2" s="1"/>
        <i x="15" s="1"/>
        <i x="0" s="1"/>
        <i x="5" s="1"/>
        <i x="20" s="1"/>
        <i x="6" s="1"/>
        <i x="7" s="1"/>
        <i x="18" s="1"/>
        <i x="8" s="1"/>
        <i x="16" s="1"/>
        <i x="11" s="1"/>
        <i x="9" s="1"/>
        <i x="10" s="1"/>
        <i x="13" s="1"/>
        <i x="12" s="1"/>
        <i x="14" s="1"/>
        <i x="1" s="1"/>
        <i x="19"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_No1" sourceName="S. No">
  <pivotTables>
    <pivotTable tabId="8" name="PivotTable20"/>
  </pivotTables>
  <data>
    <tabular pivotCacheId="2">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ams_Title1" sourceName="Teams Title">
  <pivotTables>
    <pivotTable tabId="16" name="PivotTable1"/>
    <pivotTable tabId="18" name="PivotTable2"/>
    <pivotTable tabId="21" name="PivotTable6"/>
  </pivotTables>
  <data>
    <tabular pivotCacheId="3">
      <items count="22">
        <i x="8"/>
        <i x="18"/>
        <i x="13"/>
        <i x="15"/>
        <i x="4"/>
        <i x="5"/>
        <i x="20"/>
        <i x="6"/>
        <i x="2"/>
        <i x="16"/>
        <i x="19"/>
        <i x="21"/>
        <i x="3"/>
        <i x="7"/>
        <i x="11" s="1"/>
        <i x="17"/>
        <i x="14"/>
        <i x="9"/>
        <i x="12"/>
        <i x="0"/>
        <i x="1"/>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_No" sourceName="S. No">
  <pivotTables>
    <pivotTable tabId="19" name="PivotTable5"/>
  </pivotTables>
  <data>
    <tabular pivotCacheId="4">
      <items count="6">
        <i x="0"/>
        <i x="1"/>
        <i x="2"/>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ams Title 1" cache="Slicer_Teams_Title1" caption="Teams Titl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Teams Title 2" cache="Slicer_Teams_Title1" caption="Teams Title" startItem="8" rowHeight="234950"/>
  <slicer name="S. No" cache="Slicer_S._No" caption="Questions"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Teams Title" cache="Slicer_Teams_Title" caption="Teams Title" startItem="4" rowHeight="234950"/>
  <slicer name="Questions" cache="Slicer_S._No1" caption="Questions" rowHeight="234950"/>
</slicers>
</file>

<file path=xl/tables/table1.xml><?xml version="1.0" encoding="utf-8"?>
<table xmlns="http://schemas.openxmlformats.org/spreadsheetml/2006/main" id="3" name="Table3" displayName="Table3" ref="A1:R23" totalsRowShown="0" headerRowDxfId="43">
  <autoFilter ref="A1:R23"/>
  <sortState ref="A2:R23">
    <sortCondition ref="B1:B23"/>
  </sortState>
  <tableColumns count="18">
    <tableColumn id="1" name="Rank" dataDxfId="42"/>
    <tableColumn id="2" name="Team"/>
    <tableColumn id="3" name="Teams Title"/>
    <tableColumn id="4" name="Score" dataDxfId="41"/>
    <tableColumn id="5" name="Penalty" dataDxfId="40"/>
    <tableColumn id="6" name="Question A" dataDxfId="39"/>
    <tableColumn id="7" name="No. of attempted A" dataDxfId="38"/>
    <tableColumn id="8" name="Question B" dataDxfId="37"/>
    <tableColumn id="9" name="No. of attempted B" dataDxfId="36"/>
    <tableColumn id="10" name="Question C" dataDxfId="35"/>
    <tableColumn id="11" name="No. of attempted C" dataDxfId="34"/>
    <tableColumn id="12" name="Question D" dataDxfId="33"/>
    <tableColumn id="13" name="No. of attempted D" dataDxfId="32"/>
    <tableColumn id="14" name="Question E" dataDxfId="31"/>
    <tableColumn id="15" name="No. of attempted E" dataDxfId="30"/>
    <tableColumn id="16" name="Question F" dataDxfId="29"/>
    <tableColumn id="17" name="No. of attempted F" dataDxfId="28"/>
    <tableColumn id="18" name="Total No. of q Attemped" dataDxfId="27"/>
  </tableColumns>
  <tableStyleInfo name="TableStyleMedium2" showFirstColumn="0" showLastColumn="0" showRowStripes="1" showColumnStripes="0"/>
</table>
</file>

<file path=xl/tables/table2.xml><?xml version="1.0" encoding="utf-8"?>
<table xmlns="http://schemas.openxmlformats.org/spreadsheetml/2006/main" id="4" name="Table25" displayName="Table25" ref="C5:G11" totalsRowShown="0">
  <autoFilter ref="C5:G11"/>
  <tableColumns count="5">
    <tableColumn id="1" name="S. No"/>
    <tableColumn id="2" name="Avg Time of solution" dataDxfId="26"/>
    <tableColumn id="3" name="Minimum Time" dataDxfId="25"/>
    <tableColumn id="4" name="Maximum Time" dataDxfId="24"/>
    <tableColumn id="5" name="First Solved By:" dataDxfId="23"/>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S22" totalsRowShown="0" headerRowDxfId="22">
  <autoFilter ref="A1:S22"/>
  <sortState ref="A2:S22">
    <sortCondition ref="B1:B22"/>
  </sortState>
  <tableColumns count="19">
    <tableColumn id="1" name="Rank"/>
    <tableColumn id="2" name="Team"/>
    <tableColumn id="3" name="Teams Title"/>
    <tableColumn id="20" name="R1_Score"/>
    <tableColumn id="4" name="Score" dataDxfId="21"/>
    <tableColumn id="5" name="Penalty"/>
    <tableColumn id="6" name="Question A" dataDxfId="20"/>
    <tableColumn id="7" name="No. of attempted A" dataDxfId="19"/>
    <tableColumn id="8" name="Question B" dataDxfId="18"/>
    <tableColumn id="9" name="No. of attempted B" dataDxfId="17"/>
    <tableColumn id="10" name="Question C" dataDxfId="16"/>
    <tableColumn id="11" name="No. of attempted C" dataDxfId="15"/>
    <tableColumn id="12" name="Question D" dataDxfId="14"/>
    <tableColumn id="13" name="No. of attempted D" dataDxfId="13"/>
    <tableColumn id="14" name="Question E" dataDxfId="12"/>
    <tableColumn id="15" name="No. of attempted E" dataDxfId="11"/>
    <tableColumn id="16" name="Question F" dataDxfId="10"/>
    <tableColumn id="17" name="No. of attempted F" dataDxfId="9"/>
    <tableColumn id="18" name="Total No. of q Attemped" dataDxfId="8"/>
  </tableColumns>
  <tableStyleInfo name="TableStyleMedium2" showFirstColumn="0" showLastColumn="0" showRowStripes="1" showColumnStripes="0"/>
</table>
</file>

<file path=xl/tables/table4.xml><?xml version="1.0" encoding="utf-8"?>
<table xmlns="http://schemas.openxmlformats.org/spreadsheetml/2006/main" id="2" name="Table2" displayName="Table2" ref="B5:F11" totalsRowShown="0">
  <autoFilter ref="B5:F11"/>
  <tableColumns count="5">
    <tableColumn id="1" name="S. No"/>
    <tableColumn id="2" name="Avg Time of solution" dataDxfId="3"/>
    <tableColumn id="3" name="Minimum Time" dataDxfId="2"/>
    <tableColumn id="4" name="Maximum Time" dataDxfId="1"/>
    <tableColumn id="5" name="First solved b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workbookViewId="0">
      <selection activeCell="D5" sqref="D5"/>
    </sheetView>
  </sheetViews>
  <sheetFormatPr defaultRowHeight="14.4" x14ac:dyDescent="0.3"/>
  <cols>
    <col min="1" max="1" width="7.109375" customWidth="1"/>
    <col min="2" max="2" width="29.21875" bestFit="1" customWidth="1"/>
    <col min="3" max="3" width="17.33203125" bestFit="1" customWidth="1"/>
    <col min="4" max="4" width="7.5546875" customWidth="1"/>
    <col min="5" max="5" width="10.109375" bestFit="1" customWidth="1"/>
    <col min="6" max="6" width="12.109375" customWidth="1"/>
    <col min="7" max="7" width="19.109375" customWidth="1"/>
    <col min="8" max="8" width="12" customWidth="1"/>
    <col min="9" max="9" width="19" customWidth="1"/>
    <col min="10" max="10" width="12" customWidth="1"/>
    <col min="11" max="11" width="19" customWidth="1"/>
    <col min="12" max="12" width="12.109375" customWidth="1"/>
    <col min="13" max="13" width="19.109375" customWidth="1"/>
    <col min="14" max="14" width="11.88671875" customWidth="1"/>
    <col min="15" max="15" width="18.88671875" customWidth="1"/>
    <col min="16" max="16" width="11.77734375" customWidth="1"/>
    <col min="17" max="17" width="18.77734375" customWidth="1"/>
    <col min="18" max="18" width="23.21875" customWidth="1"/>
  </cols>
  <sheetData>
    <row r="1" spans="1:18" s="2" customFormat="1" x14ac:dyDescent="0.3">
      <c r="A1" s="2" t="s">
        <v>0</v>
      </c>
      <c r="B1" s="2" t="s">
        <v>1</v>
      </c>
      <c r="C1" s="2" t="s">
        <v>2</v>
      </c>
      <c r="D1" s="2" t="s">
        <v>3</v>
      </c>
      <c r="E1" s="2" t="s">
        <v>4</v>
      </c>
      <c r="F1" s="2" t="s">
        <v>69</v>
      </c>
      <c r="G1" s="2" t="s">
        <v>70</v>
      </c>
      <c r="H1" s="2" t="s">
        <v>71</v>
      </c>
      <c r="I1" s="2" t="s">
        <v>72</v>
      </c>
      <c r="J1" s="2" t="s">
        <v>73</v>
      </c>
      <c r="K1" s="2" t="s">
        <v>74</v>
      </c>
      <c r="L1" s="2" t="s">
        <v>75</v>
      </c>
      <c r="M1" s="2" t="s">
        <v>76</v>
      </c>
      <c r="N1" s="2" t="s">
        <v>77</v>
      </c>
      <c r="O1" s="2" t="s">
        <v>78</v>
      </c>
      <c r="P1" s="2" t="s">
        <v>79</v>
      </c>
      <c r="Q1" s="2" t="s">
        <v>80</v>
      </c>
      <c r="R1" s="2" t="s">
        <v>81</v>
      </c>
    </row>
    <row r="2" spans="1:18" x14ac:dyDescent="0.3">
      <c r="A2" s="1">
        <v>16</v>
      </c>
      <c r="B2" t="s">
        <v>32</v>
      </c>
      <c r="C2" t="s">
        <v>33</v>
      </c>
      <c r="D2" s="1">
        <v>0</v>
      </c>
      <c r="E2" s="3">
        <v>0</v>
      </c>
      <c r="F2" s="21" t="s">
        <v>7</v>
      </c>
      <c r="G2" s="19">
        <v>-1</v>
      </c>
      <c r="H2" s="21" t="s">
        <v>7</v>
      </c>
      <c r="I2" s="19">
        <v>0</v>
      </c>
      <c r="J2" s="21" t="s">
        <v>7</v>
      </c>
      <c r="K2" s="19">
        <v>-1</v>
      </c>
      <c r="L2" s="20" t="s">
        <v>7</v>
      </c>
      <c r="M2" s="19">
        <v>0</v>
      </c>
      <c r="N2" s="20" t="s">
        <v>7</v>
      </c>
      <c r="O2" s="19">
        <v>0</v>
      </c>
      <c r="P2" s="20" t="s">
        <v>7</v>
      </c>
      <c r="Q2" s="19">
        <v>0</v>
      </c>
      <c r="R2" s="19">
        <v>2</v>
      </c>
    </row>
    <row r="3" spans="1:18" x14ac:dyDescent="0.3">
      <c r="A3" s="1">
        <v>10</v>
      </c>
      <c r="B3" t="s">
        <v>36</v>
      </c>
      <c r="C3" t="s">
        <v>37</v>
      </c>
      <c r="D3" s="1">
        <v>1</v>
      </c>
      <c r="E3" s="3">
        <v>20.868738425925926</v>
      </c>
      <c r="F3" s="21" t="s">
        <v>7</v>
      </c>
      <c r="G3" s="19">
        <v>-3</v>
      </c>
      <c r="H3" s="21">
        <v>2.1516203703703704E-2</v>
      </c>
      <c r="I3" s="19">
        <v>1</v>
      </c>
      <c r="J3" s="21" t="s">
        <v>7</v>
      </c>
      <c r="K3" s="19">
        <v>-2</v>
      </c>
      <c r="L3" s="20" t="s">
        <v>7</v>
      </c>
      <c r="M3" s="19">
        <v>0</v>
      </c>
      <c r="N3" s="20" t="s">
        <v>7</v>
      </c>
      <c r="O3" s="19">
        <v>0</v>
      </c>
      <c r="P3" s="20" t="s">
        <v>7</v>
      </c>
      <c r="Q3" s="19">
        <v>0</v>
      </c>
      <c r="R3" s="19">
        <v>3</v>
      </c>
    </row>
    <row r="4" spans="1:18" x14ac:dyDescent="0.3">
      <c r="A4" s="1">
        <v>19</v>
      </c>
      <c r="B4" t="s">
        <v>40</v>
      </c>
      <c r="C4" t="s">
        <v>41</v>
      </c>
      <c r="D4" s="1">
        <v>0</v>
      </c>
      <c r="E4" s="3">
        <v>0</v>
      </c>
      <c r="F4" s="21" t="s">
        <v>7</v>
      </c>
      <c r="G4" s="19">
        <v>-3</v>
      </c>
      <c r="H4" s="22" t="s">
        <v>7</v>
      </c>
      <c r="I4" s="19">
        <v>-1</v>
      </c>
      <c r="J4" s="21" t="s">
        <v>7</v>
      </c>
      <c r="K4" s="19">
        <v>0</v>
      </c>
      <c r="L4" s="20" t="s">
        <v>7</v>
      </c>
      <c r="M4" s="19">
        <v>0</v>
      </c>
      <c r="N4" s="20" t="s">
        <v>7</v>
      </c>
      <c r="O4" s="19">
        <v>0</v>
      </c>
      <c r="P4" s="20" t="s">
        <v>7</v>
      </c>
      <c r="Q4" s="19">
        <v>0</v>
      </c>
      <c r="R4" s="19">
        <v>2</v>
      </c>
    </row>
    <row r="5" spans="1:18" x14ac:dyDescent="0.3">
      <c r="A5" s="1">
        <v>2</v>
      </c>
      <c r="B5" t="s">
        <v>10</v>
      </c>
      <c r="C5" s="16" t="s">
        <v>11</v>
      </c>
      <c r="D5" s="17">
        <v>3</v>
      </c>
      <c r="E5" s="18">
        <v>86.811481481481493</v>
      </c>
      <c r="F5" s="21">
        <v>4.56018518518519E-2</v>
      </c>
      <c r="G5" s="19">
        <v>2</v>
      </c>
      <c r="H5" s="21" t="s">
        <v>7</v>
      </c>
      <c r="I5" s="19">
        <v>0</v>
      </c>
      <c r="J5" s="21">
        <v>1.9120370370370371E-2</v>
      </c>
      <c r="K5" s="19">
        <v>3</v>
      </c>
      <c r="L5" s="20">
        <v>3.3796296296296297E-2</v>
      </c>
      <c r="M5" s="19">
        <v>1</v>
      </c>
      <c r="N5" s="20" t="s">
        <v>7</v>
      </c>
      <c r="O5" s="19">
        <v>0</v>
      </c>
      <c r="P5" s="20" t="s">
        <v>7</v>
      </c>
      <c r="Q5" s="19">
        <v>0</v>
      </c>
      <c r="R5" s="19">
        <v>3</v>
      </c>
    </row>
    <row r="6" spans="1:18" x14ac:dyDescent="0.3">
      <c r="A6" s="1">
        <v>11</v>
      </c>
      <c r="B6" t="s">
        <v>16</v>
      </c>
      <c r="C6" t="s">
        <v>17</v>
      </c>
      <c r="D6" s="1">
        <v>1</v>
      </c>
      <c r="E6" s="3">
        <v>34.223611111111111</v>
      </c>
      <c r="F6" s="21" t="s">
        <v>7</v>
      </c>
      <c r="G6" s="19">
        <v>-2</v>
      </c>
      <c r="H6" s="21">
        <v>4.3055555555555562E-2</v>
      </c>
      <c r="I6" s="19">
        <v>1</v>
      </c>
      <c r="J6" s="21" t="s">
        <v>7</v>
      </c>
      <c r="K6" s="19">
        <v>-5</v>
      </c>
      <c r="L6" s="20" t="s">
        <v>7</v>
      </c>
      <c r="M6" s="19">
        <v>0</v>
      </c>
      <c r="N6" s="20" t="s">
        <v>7</v>
      </c>
      <c r="O6" s="19">
        <v>0</v>
      </c>
      <c r="P6" s="20" t="s">
        <v>7</v>
      </c>
      <c r="Q6" s="19">
        <v>-3</v>
      </c>
      <c r="R6" s="19">
        <v>4</v>
      </c>
    </row>
    <row r="7" spans="1:18" x14ac:dyDescent="0.3">
      <c r="A7" s="1">
        <v>5</v>
      </c>
      <c r="B7" t="s">
        <v>20</v>
      </c>
      <c r="C7" s="16" t="s">
        <v>49</v>
      </c>
      <c r="D7" s="17">
        <v>2</v>
      </c>
      <c r="E7" s="18">
        <v>37.980358796296294</v>
      </c>
      <c r="F7" s="21" t="s">
        <v>7</v>
      </c>
      <c r="G7" s="19">
        <v>-1</v>
      </c>
      <c r="H7" s="21">
        <v>3.3657407407407407E-2</v>
      </c>
      <c r="I7" s="19">
        <v>1</v>
      </c>
      <c r="J7" s="21">
        <v>1.6145833333333335E-2</v>
      </c>
      <c r="K7" s="19">
        <v>-1</v>
      </c>
      <c r="L7" s="20" t="s">
        <v>7</v>
      </c>
      <c r="M7" s="19">
        <v>0</v>
      </c>
      <c r="N7" s="20" t="s">
        <v>7</v>
      </c>
      <c r="O7" s="19">
        <v>-2</v>
      </c>
      <c r="P7" s="23" t="s">
        <v>7</v>
      </c>
      <c r="Q7" s="19">
        <v>0</v>
      </c>
      <c r="R7" s="19">
        <v>4</v>
      </c>
    </row>
    <row r="8" spans="1:18" x14ac:dyDescent="0.3">
      <c r="A8" s="1">
        <v>22</v>
      </c>
      <c r="B8" t="s">
        <v>53</v>
      </c>
      <c r="C8" t="s">
        <v>54</v>
      </c>
      <c r="D8" s="1">
        <v>0</v>
      </c>
      <c r="E8" s="3">
        <v>0</v>
      </c>
      <c r="F8" s="21" t="s">
        <v>7</v>
      </c>
      <c r="G8" s="19">
        <v>-2</v>
      </c>
      <c r="H8" s="21" t="s">
        <v>7</v>
      </c>
      <c r="I8" s="19">
        <v>-1</v>
      </c>
      <c r="J8" s="21" t="s">
        <v>7</v>
      </c>
      <c r="K8" s="19">
        <v>-2</v>
      </c>
      <c r="L8" s="20" t="s">
        <v>7</v>
      </c>
      <c r="M8" s="19">
        <v>0</v>
      </c>
      <c r="N8" s="20" t="s">
        <v>7</v>
      </c>
      <c r="O8" s="19">
        <v>0</v>
      </c>
      <c r="P8" s="20" t="s">
        <v>7</v>
      </c>
      <c r="Q8" s="19">
        <v>0</v>
      </c>
      <c r="R8" s="19">
        <v>3</v>
      </c>
    </row>
    <row r="9" spans="1:18" x14ac:dyDescent="0.3">
      <c r="A9" s="1">
        <v>21</v>
      </c>
      <c r="B9" t="s">
        <v>46</v>
      </c>
      <c r="C9" t="s">
        <v>47</v>
      </c>
      <c r="D9" s="1">
        <v>0</v>
      </c>
      <c r="E9" s="3">
        <v>0</v>
      </c>
      <c r="F9" s="21" t="s">
        <v>7</v>
      </c>
      <c r="G9" s="19">
        <v>-1</v>
      </c>
      <c r="H9" s="21" t="s">
        <v>7</v>
      </c>
      <c r="I9" s="19">
        <v>-1</v>
      </c>
      <c r="J9" s="21" t="s">
        <v>7</v>
      </c>
      <c r="K9" s="19">
        <v>-1</v>
      </c>
      <c r="L9" s="20" t="s">
        <v>7</v>
      </c>
      <c r="M9" s="19">
        <v>0</v>
      </c>
      <c r="N9" s="20" t="s">
        <v>7</v>
      </c>
      <c r="O9" s="19">
        <v>0</v>
      </c>
      <c r="P9" s="23" t="s">
        <v>7</v>
      </c>
      <c r="Q9" s="19">
        <v>0</v>
      </c>
      <c r="R9" s="19">
        <v>3</v>
      </c>
    </row>
    <row r="10" spans="1:18" x14ac:dyDescent="0.3">
      <c r="A10" s="1">
        <v>7</v>
      </c>
      <c r="B10" t="s">
        <v>18</v>
      </c>
      <c r="C10" t="s">
        <v>19</v>
      </c>
      <c r="D10" s="1">
        <v>2</v>
      </c>
      <c r="E10" s="3">
        <v>65.94310185185185</v>
      </c>
      <c r="F10" s="21">
        <v>4.0370370370370369E-2</v>
      </c>
      <c r="G10" s="19">
        <v>1</v>
      </c>
      <c r="H10" s="21" t="s">
        <v>7</v>
      </c>
      <c r="I10" s="19">
        <v>0</v>
      </c>
      <c r="J10" s="21">
        <v>4.162037037037037E-2</v>
      </c>
      <c r="K10" s="19">
        <v>1</v>
      </c>
      <c r="L10" s="20" t="s">
        <v>7</v>
      </c>
      <c r="M10" s="19">
        <v>0</v>
      </c>
      <c r="N10" s="20" t="s">
        <v>7</v>
      </c>
      <c r="O10" s="19">
        <v>0</v>
      </c>
      <c r="P10" s="20" t="s">
        <v>7</v>
      </c>
      <c r="Q10" s="19">
        <v>0</v>
      </c>
      <c r="R10" s="19">
        <v>2</v>
      </c>
    </row>
    <row r="11" spans="1:18" x14ac:dyDescent="0.3">
      <c r="A11" s="1">
        <v>17</v>
      </c>
      <c r="B11" t="s">
        <v>34</v>
      </c>
      <c r="C11" t="s">
        <v>35</v>
      </c>
      <c r="D11" s="1">
        <v>0</v>
      </c>
      <c r="E11" s="3">
        <v>0</v>
      </c>
      <c r="F11" s="21" t="s">
        <v>7</v>
      </c>
      <c r="G11" s="19">
        <v>-4</v>
      </c>
      <c r="H11" s="21" t="s">
        <v>7</v>
      </c>
      <c r="I11" s="19">
        <v>0</v>
      </c>
      <c r="J11" s="21" t="s">
        <v>7</v>
      </c>
      <c r="K11" s="19">
        <v>0</v>
      </c>
      <c r="L11" s="20" t="s">
        <v>7</v>
      </c>
      <c r="M11" s="19">
        <v>-6</v>
      </c>
      <c r="N11" s="20" t="s">
        <v>7</v>
      </c>
      <c r="O11" s="19">
        <v>0</v>
      </c>
      <c r="P11" s="20" t="s">
        <v>7</v>
      </c>
      <c r="Q11" s="19">
        <v>0</v>
      </c>
      <c r="R11" s="19">
        <v>2</v>
      </c>
    </row>
    <row r="12" spans="1:18" x14ac:dyDescent="0.3">
      <c r="A12" s="1">
        <v>8</v>
      </c>
      <c r="B12" t="s">
        <v>44</v>
      </c>
      <c r="C12" t="s">
        <v>45</v>
      </c>
      <c r="D12" s="1">
        <v>2</v>
      </c>
      <c r="E12" s="3">
        <v>128.54740740740741</v>
      </c>
      <c r="F12" s="21">
        <v>2.9062500000000002E-2</v>
      </c>
      <c r="G12" s="19">
        <v>4</v>
      </c>
      <c r="H12" s="21" t="s">
        <v>7</v>
      </c>
      <c r="I12" s="19">
        <v>0</v>
      </c>
      <c r="J12" s="21">
        <v>4.612268518518519E-2</v>
      </c>
      <c r="K12" s="19">
        <v>6</v>
      </c>
      <c r="L12" s="20" t="s">
        <v>7</v>
      </c>
      <c r="M12" s="19">
        <v>0</v>
      </c>
      <c r="N12" s="20" t="s">
        <v>7</v>
      </c>
      <c r="O12" s="19">
        <v>0</v>
      </c>
      <c r="P12" s="20" t="s">
        <v>7</v>
      </c>
      <c r="Q12" s="19">
        <v>0</v>
      </c>
      <c r="R12" s="19">
        <v>2</v>
      </c>
    </row>
    <row r="13" spans="1:18" x14ac:dyDescent="0.3">
      <c r="A13" s="1">
        <v>12</v>
      </c>
      <c r="B13" t="s">
        <v>24</v>
      </c>
      <c r="C13" t="s">
        <v>50</v>
      </c>
      <c r="D13" s="1">
        <v>0</v>
      </c>
      <c r="E13" s="3">
        <v>0</v>
      </c>
      <c r="F13" s="21" t="s">
        <v>7</v>
      </c>
      <c r="G13" s="19">
        <v>-1</v>
      </c>
      <c r="H13" s="21" t="s">
        <v>7</v>
      </c>
      <c r="I13" s="19">
        <v>0</v>
      </c>
      <c r="J13" s="21" t="s">
        <v>7</v>
      </c>
      <c r="K13" s="19">
        <v>-1</v>
      </c>
      <c r="L13" s="20" t="s">
        <v>7</v>
      </c>
      <c r="M13" s="19">
        <v>0</v>
      </c>
      <c r="N13" s="20" t="s">
        <v>7</v>
      </c>
      <c r="O13" s="19">
        <v>0</v>
      </c>
      <c r="P13" s="20" t="s">
        <v>7</v>
      </c>
      <c r="Q13" s="19">
        <v>0</v>
      </c>
      <c r="R13" s="19">
        <v>2</v>
      </c>
    </row>
    <row r="14" spans="1:18" x14ac:dyDescent="0.3">
      <c r="A14" s="1">
        <v>4</v>
      </c>
      <c r="B14" t="s">
        <v>14</v>
      </c>
      <c r="C14" s="16" t="s">
        <v>48</v>
      </c>
      <c r="D14" s="17">
        <v>2</v>
      </c>
      <c r="E14" s="18">
        <v>25.876747685185183</v>
      </c>
      <c r="F14" s="21" t="s">
        <v>7</v>
      </c>
      <c r="G14" s="19">
        <v>-1</v>
      </c>
      <c r="H14" s="21">
        <v>7.1296296296296307E-3</v>
      </c>
      <c r="I14" s="19">
        <v>1</v>
      </c>
      <c r="J14" s="21" t="s">
        <v>7</v>
      </c>
      <c r="K14" s="19">
        <v>-1</v>
      </c>
      <c r="L14" s="20">
        <v>3.6284722222222225E-2</v>
      </c>
      <c r="M14" s="19">
        <v>1</v>
      </c>
      <c r="N14" s="20" t="s">
        <v>7</v>
      </c>
      <c r="O14" s="19">
        <v>0</v>
      </c>
      <c r="P14" s="20" t="s">
        <v>7</v>
      </c>
      <c r="Q14" s="19">
        <v>0</v>
      </c>
      <c r="R14" s="19">
        <v>4</v>
      </c>
    </row>
    <row r="15" spans="1:18" x14ac:dyDescent="0.3">
      <c r="A15" s="1">
        <v>13</v>
      </c>
      <c r="B15" t="s">
        <v>26</v>
      </c>
      <c r="C15" t="s">
        <v>51</v>
      </c>
      <c r="D15" s="1">
        <v>0</v>
      </c>
      <c r="E15" s="3">
        <v>0</v>
      </c>
      <c r="F15" s="21" t="s">
        <v>7</v>
      </c>
      <c r="G15" s="19">
        <v>-1</v>
      </c>
      <c r="H15" s="21" t="s">
        <v>7</v>
      </c>
      <c r="I15" s="19">
        <v>0</v>
      </c>
      <c r="J15" s="21" t="s">
        <v>7</v>
      </c>
      <c r="K15" s="19">
        <v>-1</v>
      </c>
      <c r="L15" s="20" t="s">
        <v>7</v>
      </c>
      <c r="M15" s="19">
        <v>0</v>
      </c>
      <c r="N15" s="20" t="s">
        <v>7</v>
      </c>
      <c r="O15" s="19">
        <v>0</v>
      </c>
      <c r="P15" s="20" t="s">
        <v>7</v>
      </c>
      <c r="Q15" s="19">
        <v>0</v>
      </c>
      <c r="R15" s="19">
        <v>2</v>
      </c>
    </row>
    <row r="16" spans="1:18" x14ac:dyDescent="0.3">
      <c r="A16" s="1">
        <v>18</v>
      </c>
      <c r="B16" t="s">
        <v>8</v>
      </c>
      <c r="C16" t="s">
        <v>52</v>
      </c>
      <c r="D16" s="1">
        <v>0</v>
      </c>
      <c r="E16" s="3">
        <v>0</v>
      </c>
      <c r="F16" s="21" t="s">
        <v>7</v>
      </c>
      <c r="G16" s="19">
        <v>-1</v>
      </c>
      <c r="H16" s="21" t="s">
        <v>7</v>
      </c>
      <c r="I16" s="19">
        <v>0</v>
      </c>
      <c r="J16" s="21" t="s">
        <v>7</v>
      </c>
      <c r="K16" s="19">
        <v>0</v>
      </c>
      <c r="L16" s="20" t="s">
        <v>7</v>
      </c>
      <c r="M16" s="19">
        <v>0</v>
      </c>
      <c r="N16" s="20" t="s">
        <v>7</v>
      </c>
      <c r="O16" s="19">
        <v>0</v>
      </c>
      <c r="P16" s="20" t="s">
        <v>7</v>
      </c>
      <c r="Q16" s="19">
        <v>0</v>
      </c>
      <c r="R16" s="19">
        <v>1</v>
      </c>
    </row>
    <row r="17" spans="1:18" x14ac:dyDescent="0.3">
      <c r="A17" s="1">
        <v>15</v>
      </c>
      <c r="B17" t="s">
        <v>30</v>
      </c>
      <c r="C17" t="s">
        <v>31</v>
      </c>
      <c r="D17" s="1">
        <v>0</v>
      </c>
      <c r="E17" s="3">
        <v>0</v>
      </c>
      <c r="F17" s="21" t="s">
        <v>7</v>
      </c>
      <c r="G17" s="19">
        <v>-1</v>
      </c>
      <c r="H17" s="21" t="s">
        <v>7</v>
      </c>
      <c r="I17" s="19">
        <v>-1</v>
      </c>
      <c r="J17" s="21" t="s">
        <v>7</v>
      </c>
      <c r="K17" s="19">
        <v>0</v>
      </c>
      <c r="L17" s="23" t="s">
        <v>7</v>
      </c>
      <c r="M17" s="19">
        <v>0</v>
      </c>
      <c r="N17" s="20" t="s">
        <v>7</v>
      </c>
      <c r="O17" s="19">
        <v>0</v>
      </c>
      <c r="P17" s="23" t="s">
        <v>7</v>
      </c>
      <c r="Q17" s="19">
        <v>0</v>
      </c>
      <c r="R17" s="19">
        <v>2</v>
      </c>
    </row>
    <row r="18" spans="1:18" x14ac:dyDescent="0.3">
      <c r="A18" s="1">
        <v>14</v>
      </c>
      <c r="B18" t="s">
        <v>28</v>
      </c>
      <c r="C18" t="s">
        <v>29</v>
      </c>
      <c r="D18" s="1">
        <v>0</v>
      </c>
      <c r="E18" s="3">
        <v>0</v>
      </c>
      <c r="F18" s="21" t="s">
        <v>7</v>
      </c>
      <c r="G18" s="19">
        <v>0</v>
      </c>
      <c r="H18" s="21" t="s">
        <v>7</v>
      </c>
      <c r="I18" s="19">
        <v>0</v>
      </c>
      <c r="J18" s="21" t="s">
        <v>7</v>
      </c>
      <c r="K18" s="19">
        <v>-2</v>
      </c>
      <c r="L18" s="20" t="s">
        <v>7</v>
      </c>
      <c r="M18" s="19">
        <v>0</v>
      </c>
      <c r="N18" s="20" t="s">
        <v>7</v>
      </c>
      <c r="O18" s="19">
        <v>0</v>
      </c>
      <c r="P18" s="20" t="s">
        <v>7</v>
      </c>
      <c r="Q18" s="19">
        <v>0</v>
      </c>
      <c r="R18" s="19">
        <v>1</v>
      </c>
    </row>
    <row r="19" spans="1:18" x14ac:dyDescent="0.3">
      <c r="A19" s="1">
        <v>20</v>
      </c>
      <c r="B19" t="s">
        <v>42</v>
      </c>
      <c r="C19" t="s">
        <v>43</v>
      </c>
      <c r="D19" s="1">
        <v>0</v>
      </c>
      <c r="E19" s="3">
        <v>0</v>
      </c>
      <c r="F19" s="21" t="s">
        <v>7</v>
      </c>
      <c r="G19" s="19">
        <v>-1</v>
      </c>
      <c r="H19" s="21" t="s">
        <v>7</v>
      </c>
      <c r="I19" s="19">
        <v>-1</v>
      </c>
      <c r="J19" s="21" t="s">
        <v>7</v>
      </c>
      <c r="K19" s="19">
        <v>0</v>
      </c>
      <c r="L19" s="20" t="s">
        <v>7</v>
      </c>
      <c r="M19" s="19">
        <v>-1</v>
      </c>
      <c r="N19" s="20" t="s">
        <v>7</v>
      </c>
      <c r="O19" s="19">
        <v>0</v>
      </c>
      <c r="P19" s="20" t="s">
        <v>7</v>
      </c>
      <c r="Q19" s="19">
        <v>0</v>
      </c>
      <c r="R19" s="19">
        <v>3</v>
      </c>
    </row>
    <row r="20" spans="1:18" x14ac:dyDescent="0.3">
      <c r="A20" s="1">
        <v>9</v>
      </c>
      <c r="B20" t="s">
        <v>38</v>
      </c>
      <c r="C20" t="s">
        <v>39</v>
      </c>
      <c r="D20" s="1">
        <v>1</v>
      </c>
      <c r="E20" s="3">
        <v>14.190497685185186</v>
      </c>
      <c r="F20" s="21">
        <v>2.3831018518518519E-2</v>
      </c>
      <c r="G20" s="19">
        <v>1</v>
      </c>
      <c r="H20" s="21" t="s">
        <v>7</v>
      </c>
      <c r="I20" s="19">
        <v>0</v>
      </c>
      <c r="J20" s="21" t="s">
        <v>7</v>
      </c>
      <c r="K20" s="19">
        <v>-4</v>
      </c>
      <c r="L20" s="20" t="s">
        <v>7</v>
      </c>
      <c r="M20" s="19">
        <v>0</v>
      </c>
      <c r="N20" s="20" t="s">
        <v>7</v>
      </c>
      <c r="O20" s="19">
        <v>0</v>
      </c>
      <c r="P20" s="20" t="s">
        <v>7</v>
      </c>
      <c r="Q20" s="19">
        <v>0</v>
      </c>
      <c r="R20" s="19">
        <v>2</v>
      </c>
    </row>
    <row r="21" spans="1:18" x14ac:dyDescent="0.3">
      <c r="A21" s="1">
        <v>3</v>
      </c>
      <c r="B21" t="s">
        <v>22</v>
      </c>
      <c r="C21" s="16" t="s">
        <v>23</v>
      </c>
      <c r="D21" s="17">
        <v>2</v>
      </c>
      <c r="E21" s="18">
        <v>18.781597222222221</v>
      </c>
      <c r="F21" s="21">
        <v>8.7268518518518495E-2</v>
      </c>
      <c r="G21" s="19">
        <v>1</v>
      </c>
      <c r="H21" s="21">
        <v>1.9027777777777779E-2</v>
      </c>
      <c r="I21" s="19">
        <v>1</v>
      </c>
      <c r="J21" s="21" t="s">
        <v>7</v>
      </c>
      <c r="K21" s="19">
        <v>-2</v>
      </c>
      <c r="L21" s="20" t="s">
        <v>7</v>
      </c>
      <c r="M21" s="19">
        <v>-1</v>
      </c>
      <c r="N21" s="20" t="s">
        <v>7</v>
      </c>
      <c r="O21" s="19">
        <v>0</v>
      </c>
      <c r="P21" s="20" t="s">
        <v>7</v>
      </c>
      <c r="Q21" s="19">
        <v>0</v>
      </c>
      <c r="R21" s="19">
        <v>4</v>
      </c>
    </row>
    <row r="22" spans="1:18" x14ac:dyDescent="0.3">
      <c r="A22" s="1">
        <v>1</v>
      </c>
      <c r="B22" t="s">
        <v>5</v>
      </c>
      <c r="C22" s="16" t="s">
        <v>6</v>
      </c>
      <c r="D22" s="17">
        <v>4</v>
      </c>
      <c r="E22" s="18">
        <v>86.393831018518526</v>
      </c>
      <c r="F22" s="21">
        <v>3.9351851851851857E-3</v>
      </c>
      <c r="G22" s="19">
        <v>1</v>
      </c>
      <c r="H22" s="21">
        <v>8.5300925925925926E-3</v>
      </c>
      <c r="I22" s="19">
        <v>1</v>
      </c>
      <c r="J22" s="21">
        <v>2.2476851851851855E-2</v>
      </c>
      <c r="K22" s="19">
        <v>4</v>
      </c>
      <c r="L22" s="20" t="s">
        <v>7</v>
      </c>
      <c r="M22" s="19">
        <v>0</v>
      </c>
      <c r="N22" s="20">
        <v>3.9444444444444442E-2</v>
      </c>
      <c r="O22" s="19">
        <v>1</v>
      </c>
      <c r="P22" s="20" t="s">
        <v>7</v>
      </c>
      <c r="Q22" s="19">
        <v>0</v>
      </c>
      <c r="R22" s="19">
        <v>4</v>
      </c>
    </row>
    <row r="23" spans="1:18" x14ac:dyDescent="0.3">
      <c r="A23" s="1">
        <v>6</v>
      </c>
      <c r="B23" t="s">
        <v>12</v>
      </c>
      <c r="C23" t="s">
        <v>13</v>
      </c>
      <c r="D23" s="1">
        <v>2</v>
      </c>
      <c r="E23" s="3">
        <v>43.405567129629624</v>
      </c>
      <c r="F23" s="21">
        <v>2.6782407407407408E-2</v>
      </c>
      <c r="G23" s="19">
        <v>1</v>
      </c>
      <c r="H23" s="21" t="s">
        <v>7</v>
      </c>
      <c r="I23" s="19">
        <v>0</v>
      </c>
      <c r="J23" s="21">
        <v>4.5451388888888888E-2</v>
      </c>
      <c r="K23" s="19">
        <v>1</v>
      </c>
      <c r="L23" s="20" t="s">
        <v>7</v>
      </c>
      <c r="M23" s="19">
        <v>0</v>
      </c>
      <c r="N23" s="20" t="s">
        <v>7</v>
      </c>
      <c r="O23" s="19">
        <v>0</v>
      </c>
      <c r="P23" s="20" t="s">
        <v>7</v>
      </c>
      <c r="Q23" s="19">
        <v>0</v>
      </c>
      <c r="R23" s="19">
        <v>2</v>
      </c>
    </row>
    <row r="24" spans="1:18" x14ac:dyDescent="0.3">
      <c r="H24" s="21"/>
    </row>
    <row r="25" spans="1:18" x14ac:dyDescent="0.3">
      <c r="H25" s="21"/>
    </row>
    <row r="26" spans="1:18" x14ac:dyDescent="0.3">
      <c r="H26" s="21"/>
    </row>
    <row r="27" spans="1:18" x14ac:dyDescent="0.3">
      <c r="H27" s="21"/>
    </row>
  </sheetData>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
  <sheetViews>
    <sheetView workbookViewId="0">
      <selection activeCell="A3" sqref="A3"/>
    </sheetView>
  </sheetViews>
  <sheetFormatPr defaultRowHeight="14.4" x14ac:dyDescent="0.3"/>
  <cols>
    <col min="1" max="1" width="12.5546875" customWidth="1"/>
    <col min="2" max="2" width="10.33203125" customWidth="1"/>
    <col min="3" max="3" width="17.6640625" customWidth="1"/>
    <col min="4" max="6" width="23.6640625" customWidth="1"/>
    <col min="7" max="7" width="23.6640625" bestFit="1" customWidth="1"/>
  </cols>
  <sheetData>
    <row r="3" spans="1:3" x14ac:dyDescent="0.3">
      <c r="A3" s="7" t="s">
        <v>55</v>
      </c>
      <c r="B3" t="s">
        <v>82</v>
      </c>
      <c r="C3" t="s">
        <v>83</v>
      </c>
    </row>
    <row r="4" spans="1:3" x14ac:dyDescent="0.3">
      <c r="A4" s="6" t="s">
        <v>50</v>
      </c>
      <c r="B4" s="1">
        <v>0</v>
      </c>
      <c r="C4" s="1">
        <v>2</v>
      </c>
    </row>
    <row r="5" spans="1:3" x14ac:dyDescent="0.3">
      <c r="A5" s="6" t="s">
        <v>56</v>
      </c>
      <c r="B5" s="1">
        <v>0</v>
      </c>
      <c r="C5" s="1">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5"/>
  <sheetViews>
    <sheetView workbookViewId="0">
      <selection activeCell="E8" sqref="E8"/>
    </sheetView>
  </sheetViews>
  <sheetFormatPr defaultRowHeight="14.4" x14ac:dyDescent="0.3"/>
  <cols>
    <col min="1" max="1" width="12.5546875" customWidth="1"/>
    <col min="2" max="2" width="24" bestFit="1" customWidth="1"/>
    <col min="3" max="4" width="23.88671875" bestFit="1" customWidth="1"/>
    <col min="5" max="5" width="24" bestFit="1" customWidth="1"/>
    <col min="6" max="6" width="23.77734375" bestFit="1" customWidth="1"/>
    <col min="7" max="7" width="23.6640625" bestFit="1" customWidth="1"/>
  </cols>
  <sheetData>
    <row r="3" spans="1:7" x14ac:dyDescent="0.3">
      <c r="A3" s="7" t="s">
        <v>55</v>
      </c>
      <c r="B3" t="s">
        <v>95</v>
      </c>
      <c r="C3" t="s">
        <v>96</v>
      </c>
      <c r="D3" t="s">
        <v>97</v>
      </c>
      <c r="E3" t="s">
        <v>98</v>
      </c>
      <c r="F3" t="s">
        <v>99</v>
      </c>
      <c r="G3" t="s">
        <v>100</v>
      </c>
    </row>
    <row r="4" spans="1:7" x14ac:dyDescent="0.3">
      <c r="A4" s="6" t="s">
        <v>50</v>
      </c>
      <c r="B4" s="1">
        <v>-1</v>
      </c>
      <c r="C4" s="1">
        <v>0</v>
      </c>
      <c r="D4" s="1">
        <v>-1</v>
      </c>
      <c r="E4" s="1">
        <v>0</v>
      </c>
      <c r="F4" s="1">
        <v>0</v>
      </c>
      <c r="G4" s="1">
        <v>0</v>
      </c>
    </row>
    <row r="5" spans="1:7" x14ac:dyDescent="0.3">
      <c r="A5" s="6" t="s">
        <v>56</v>
      </c>
      <c r="B5" s="1">
        <v>-1</v>
      </c>
      <c r="C5" s="1">
        <v>0</v>
      </c>
      <c r="D5" s="1">
        <v>-1</v>
      </c>
      <c r="E5" s="1">
        <v>0</v>
      </c>
      <c r="F5" s="1">
        <v>0</v>
      </c>
      <c r="G5" s="1">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P12" sqref="P12"/>
    </sheetView>
  </sheetViews>
  <sheetFormatPr defaultRowHeight="14.4" x14ac:dyDescent="0.3"/>
  <cols>
    <col min="1" max="1" width="12.5546875" customWidth="1"/>
    <col min="2" max="2" width="13.88671875" customWidth="1"/>
  </cols>
  <sheetData>
    <row r="3" spans="1:2" x14ac:dyDescent="0.3">
      <c r="A3" s="7" t="s">
        <v>55</v>
      </c>
      <c r="B3" t="s">
        <v>103</v>
      </c>
    </row>
    <row r="4" spans="1:2" x14ac:dyDescent="0.3">
      <c r="A4" s="6" t="s">
        <v>50</v>
      </c>
      <c r="B4" s="3">
        <v>0</v>
      </c>
    </row>
    <row r="5" spans="1:2" x14ac:dyDescent="0.3">
      <c r="A5" s="6" t="s">
        <v>56</v>
      </c>
      <c r="B5" s="3">
        <v>0</v>
      </c>
    </row>
  </sheetData>
  <pageMargins left="0.7" right="0.7" top="0.75" bottom="0.75" header="0.3" footer="0.3"/>
  <pageSetup orientation="portrait" horizontalDpi="4294967295" verticalDpi="4294967295"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G15"/>
  <sheetViews>
    <sheetView workbookViewId="0">
      <selection activeCell="D13" sqref="D13"/>
    </sheetView>
  </sheetViews>
  <sheetFormatPr defaultRowHeight="14.4" x14ac:dyDescent="0.3"/>
  <cols>
    <col min="1" max="1" width="12.5546875" bestFit="1" customWidth="1"/>
    <col min="2" max="2" width="8.77734375" customWidth="1"/>
    <col min="3" max="3" width="19.5546875" customWidth="1"/>
    <col min="4" max="4" width="19.88671875" customWidth="1"/>
    <col min="5" max="5" width="16.109375" bestFit="1" customWidth="1"/>
    <col min="6" max="6" width="16.44140625" bestFit="1" customWidth="1"/>
    <col min="7" max="7" width="19.21875" bestFit="1" customWidth="1"/>
  </cols>
  <sheetData>
    <row r="5" spans="1:7" x14ac:dyDescent="0.3">
      <c r="C5" t="s">
        <v>68</v>
      </c>
      <c r="D5" t="s">
        <v>63</v>
      </c>
      <c r="E5" t="s">
        <v>64</v>
      </c>
      <c r="F5" t="s">
        <v>65</v>
      </c>
      <c r="G5" t="s">
        <v>101</v>
      </c>
    </row>
    <row r="6" spans="1:7" x14ac:dyDescent="0.3">
      <c r="C6" t="s">
        <v>57</v>
      </c>
      <c r="D6" s="9">
        <f>AVERAGE(Table3[Question A])</f>
        <v>3.6693121693121701E-2</v>
      </c>
      <c r="E6" s="9">
        <f>MIN(Table3[Question A])</f>
        <v>3.9351851851851857E-3</v>
      </c>
      <c r="F6" s="9">
        <f>MAX(Table3[Question A])</f>
        <v>8.7268518518518495E-2</v>
      </c>
      <c r="G6" s="9" t="str">
        <f>INDEX(Table3[Teams Title], MATCH(MIN(Table3[Question A]),Table3[Question A],0))</f>
        <v>Team Django</v>
      </c>
    </row>
    <row r="7" spans="1:7" x14ac:dyDescent="0.3">
      <c r="C7" t="s">
        <v>58</v>
      </c>
      <c r="D7" s="9">
        <f>AVERAGE(Table3[Question B])</f>
        <v>2.2152777777777782E-2</v>
      </c>
      <c r="E7" s="9">
        <f>MIN(Table3[Question B])</f>
        <v>7.1296296296296307E-3</v>
      </c>
      <c r="F7" s="9">
        <f>MAX(Table3[Question B])</f>
        <v>4.3055555555555562E-2</v>
      </c>
      <c r="G7" s="9" t="str">
        <f>INDEX(Table3[Teams Title], MATCH(MIN(Table3[Question B]),Table3[Question B],0))</f>
        <v>Jinnah_Coder</v>
      </c>
    </row>
    <row r="8" spans="1:7" x14ac:dyDescent="0.3">
      <c r="C8" t="s">
        <v>59</v>
      </c>
      <c r="D8" s="9">
        <f>AVERAGE(Table3[Question C])</f>
        <v>3.1822916666666666E-2</v>
      </c>
      <c r="E8" s="9">
        <f>MIN(Table3[Question C])</f>
        <v>1.6145833333333335E-2</v>
      </c>
      <c r="F8" s="9">
        <f>MAX(Table3[Question C])</f>
        <v>4.612268518518519E-2</v>
      </c>
      <c r="G8" s="9" t="str">
        <f>INDEX(Table3[Teams Title], MATCH(MIN(Table3[Question C]),Table3[Question C],0))</f>
        <v>Centers_Unite</v>
      </c>
    </row>
    <row r="9" spans="1:7" x14ac:dyDescent="0.3">
      <c r="C9" t="s">
        <v>60</v>
      </c>
      <c r="D9" s="9">
        <f>AVERAGE(Table3[Question D])</f>
        <v>3.5040509259259264E-2</v>
      </c>
      <c r="E9" s="9">
        <f>MIN(Table3[Question D])</f>
        <v>3.3796296296296297E-2</v>
      </c>
      <c r="F9" s="9">
        <f>MAX(Table3[Question D])</f>
        <v>3.6284722222222225E-2</v>
      </c>
      <c r="G9" s="9" t="str">
        <f>INDEX(Table3[Teams Title], MATCH(MIN(Table3[Question D]),Table3[Question D],0))</f>
        <v>The Invincibles</v>
      </c>
    </row>
    <row r="10" spans="1:7" x14ac:dyDescent="0.3">
      <c r="C10" t="s">
        <v>61</v>
      </c>
      <c r="D10" s="9">
        <f>AVERAGE(Table3[Question E])</f>
        <v>3.9444444444444442E-2</v>
      </c>
      <c r="E10" s="9">
        <f>MIN(Table3[Question E])</f>
        <v>3.9444444444444442E-2</v>
      </c>
      <c r="F10" s="9">
        <f>MAX(Table3[Question E])</f>
        <v>3.9444444444444442E-2</v>
      </c>
      <c r="G10" s="9" t="str">
        <f>INDEX(Table3[Teams Title], MATCH(MIN(Table3[Question E]),Table3[Question E],0))</f>
        <v>Team Django</v>
      </c>
    </row>
    <row r="11" spans="1:7" x14ac:dyDescent="0.3">
      <c r="C11" t="s">
        <v>62</v>
      </c>
      <c r="D11" s="9">
        <v>0</v>
      </c>
      <c r="E11" s="9">
        <v>0</v>
      </c>
      <c r="F11" s="9">
        <v>0</v>
      </c>
      <c r="G11" s="9" t="s">
        <v>102</v>
      </c>
    </row>
    <row r="13" spans="1:7" x14ac:dyDescent="0.3">
      <c r="A13" s="7" t="s">
        <v>55</v>
      </c>
      <c r="B13" t="s">
        <v>106</v>
      </c>
      <c r="C13" t="s">
        <v>107</v>
      </c>
      <c r="D13" t="s">
        <v>108</v>
      </c>
    </row>
    <row r="14" spans="1:7" x14ac:dyDescent="0.3">
      <c r="A14" s="6" t="s">
        <v>60</v>
      </c>
      <c r="B14" s="24">
        <v>3.5046296296296298E-2</v>
      </c>
      <c r="C14" s="9">
        <v>3.3796296296296297E-2</v>
      </c>
      <c r="D14" s="9">
        <v>3.6284722222222225E-2</v>
      </c>
    </row>
    <row r="15" spans="1:7" x14ac:dyDescent="0.3">
      <c r="A15" s="6" t="s">
        <v>56</v>
      </c>
      <c r="B15" s="24">
        <v>3.5046296296296298E-2</v>
      </c>
      <c r="C15" s="9">
        <v>3.3796296296296297E-2</v>
      </c>
      <c r="D15" s="9">
        <v>3.6284722222222225E-2</v>
      </c>
    </row>
  </sheetData>
  <pageMargins left="0.7" right="0.7" top="0.75" bottom="0.75" header="0.3" footer="0.3"/>
  <pageSetup orientation="portrait" horizontalDpi="4294967295" verticalDpi="4294967295"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23:L25"/>
  <sheetViews>
    <sheetView workbookViewId="0">
      <selection activeCell="J1" sqref="J1"/>
    </sheetView>
  </sheetViews>
  <sheetFormatPr defaultRowHeight="14.4" x14ac:dyDescent="0.3"/>
  <cols>
    <col min="1" max="2" width="8.88671875" style="8"/>
    <col min="3" max="3" width="19.21875" style="8" bestFit="1" customWidth="1"/>
    <col min="4" max="10" width="8.88671875" style="8"/>
    <col min="11" max="11" width="12.109375" style="8" bestFit="1" customWidth="1"/>
    <col min="12" max="12" width="18.5546875" style="8" bestFit="1" customWidth="1"/>
    <col min="13" max="16384" width="8.88671875" style="8"/>
  </cols>
  <sheetData>
    <row r="23" spans="11:12" ht="15" thickBot="1" x14ac:dyDescent="0.35"/>
    <row r="24" spans="11:12" x14ac:dyDescent="0.3">
      <c r="K24" s="25" t="s">
        <v>104</v>
      </c>
      <c r="L24" s="26">
        <v>6</v>
      </c>
    </row>
    <row r="25" spans="11:12" ht="15" thickBot="1" x14ac:dyDescent="0.35">
      <c r="K25" s="27" t="s">
        <v>105</v>
      </c>
      <c r="L25" s="14" t="str">
        <f>IF(L24=1,"Team Djanga",IF(L24=2,"Jinnah_Coder",IF(L24=3,"Centers_Unite",IF(L24=4,"The Invincibles",IF(L24=5,"Team Django",IF(L24=6,"No one can solve this","False Value"))))))</f>
        <v>No one can solve this</v>
      </c>
    </row>
  </sheetData>
  <dataValidations count="1">
    <dataValidation allowBlank="1" showInputMessage="1" showErrorMessage="1" promptTitle="Questions" prompt="1_x000a_2_x000a_3_x000a_4_x000a_5_x000a_6" sqref="L24"/>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5"/>
  <sheetViews>
    <sheetView workbookViewId="0">
      <selection activeCell="L6" sqref="L6"/>
    </sheetView>
  </sheetViews>
  <sheetFormatPr defaultRowHeight="14.4" x14ac:dyDescent="0.3"/>
  <cols>
    <col min="1" max="1" width="17.33203125" bestFit="1" customWidth="1"/>
    <col min="2" max="3" width="13.33203125" bestFit="1" customWidth="1"/>
  </cols>
  <sheetData>
    <row r="3" spans="1:3" x14ac:dyDescent="0.3">
      <c r="A3" s="7" t="s">
        <v>55</v>
      </c>
      <c r="B3" t="s">
        <v>110</v>
      </c>
      <c r="C3" t="s">
        <v>111</v>
      </c>
    </row>
    <row r="4" spans="1:3" x14ac:dyDescent="0.3">
      <c r="A4" s="6" t="s">
        <v>39</v>
      </c>
      <c r="B4" s="1">
        <v>1</v>
      </c>
      <c r="C4" s="1">
        <v>0</v>
      </c>
    </row>
    <row r="5" spans="1:3" x14ac:dyDescent="0.3">
      <c r="A5" s="6" t="s">
        <v>41</v>
      </c>
      <c r="B5" s="1">
        <v>0</v>
      </c>
      <c r="C5" s="1">
        <v>0</v>
      </c>
    </row>
    <row r="6" spans="1:3" x14ac:dyDescent="0.3">
      <c r="A6" s="6" t="s">
        <v>29</v>
      </c>
      <c r="B6" s="1">
        <v>0</v>
      </c>
      <c r="C6" s="1">
        <v>0</v>
      </c>
    </row>
    <row r="7" spans="1:3" x14ac:dyDescent="0.3">
      <c r="A7" s="6" t="s">
        <v>33</v>
      </c>
      <c r="B7" s="1">
        <v>0</v>
      </c>
      <c r="C7" s="1">
        <v>0</v>
      </c>
    </row>
    <row r="8" spans="1:3" x14ac:dyDescent="0.3">
      <c r="A8" s="6" t="s">
        <v>21</v>
      </c>
      <c r="B8" s="1">
        <v>2</v>
      </c>
      <c r="C8" s="1">
        <v>2</v>
      </c>
    </row>
    <row r="9" spans="1:3" x14ac:dyDescent="0.3">
      <c r="A9" s="6" t="s">
        <v>13</v>
      </c>
      <c r="B9" s="1">
        <v>2</v>
      </c>
      <c r="C9" s="1">
        <v>4</v>
      </c>
    </row>
    <row r="10" spans="1:3" x14ac:dyDescent="0.3">
      <c r="A10" s="6" t="s">
        <v>47</v>
      </c>
      <c r="B10" s="1">
        <v>0</v>
      </c>
      <c r="C10" s="1">
        <v>0</v>
      </c>
    </row>
    <row r="11" spans="1:3" x14ac:dyDescent="0.3">
      <c r="A11" s="6" t="s">
        <v>19</v>
      </c>
      <c r="B11" s="1">
        <v>2</v>
      </c>
      <c r="C11" s="1">
        <v>2</v>
      </c>
    </row>
    <row r="12" spans="1:3" x14ac:dyDescent="0.3">
      <c r="A12" s="6" t="s">
        <v>23</v>
      </c>
      <c r="B12" s="1">
        <v>2</v>
      </c>
      <c r="C12" s="1">
        <v>0</v>
      </c>
    </row>
    <row r="13" spans="1:3" x14ac:dyDescent="0.3">
      <c r="A13" s="6" t="s">
        <v>35</v>
      </c>
      <c r="B13" s="1">
        <v>0</v>
      </c>
      <c r="C13" s="1">
        <v>0</v>
      </c>
    </row>
    <row r="14" spans="1:3" x14ac:dyDescent="0.3">
      <c r="A14" s="6" t="s">
        <v>43</v>
      </c>
      <c r="B14" s="1">
        <v>0</v>
      </c>
      <c r="C14" s="1">
        <v>0</v>
      </c>
    </row>
    <row r="15" spans="1:3" x14ac:dyDescent="0.3">
      <c r="A15" s="6" t="s">
        <v>15</v>
      </c>
      <c r="B15" s="1">
        <v>2</v>
      </c>
      <c r="C15" s="1">
        <v>2</v>
      </c>
    </row>
    <row r="16" spans="1:3" x14ac:dyDescent="0.3">
      <c r="A16" s="6" t="s">
        <v>45</v>
      </c>
      <c r="B16" s="1">
        <v>2</v>
      </c>
      <c r="C16" s="1">
        <v>0</v>
      </c>
    </row>
    <row r="17" spans="1:3" x14ac:dyDescent="0.3">
      <c r="A17" s="6" t="s">
        <v>25</v>
      </c>
      <c r="B17" s="1">
        <v>0</v>
      </c>
      <c r="C17" s="1">
        <v>0</v>
      </c>
    </row>
    <row r="18" spans="1:3" x14ac:dyDescent="0.3">
      <c r="A18" s="6" t="s">
        <v>9</v>
      </c>
      <c r="B18" s="1">
        <v>0</v>
      </c>
      <c r="C18" s="1">
        <v>6</v>
      </c>
    </row>
    <row r="19" spans="1:3" x14ac:dyDescent="0.3">
      <c r="A19" s="6" t="s">
        <v>27</v>
      </c>
      <c r="B19" s="1">
        <v>0</v>
      </c>
      <c r="C19" s="1">
        <v>0</v>
      </c>
    </row>
    <row r="20" spans="1:3" x14ac:dyDescent="0.3">
      <c r="A20" s="6" t="s">
        <v>31</v>
      </c>
      <c r="B20" s="1">
        <v>0</v>
      </c>
      <c r="C20" s="1">
        <v>0</v>
      </c>
    </row>
    <row r="21" spans="1:3" x14ac:dyDescent="0.3">
      <c r="A21" s="6" t="s">
        <v>37</v>
      </c>
      <c r="B21" s="1">
        <v>1</v>
      </c>
      <c r="C21" s="1">
        <v>0</v>
      </c>
    </row>
    <row r="22" spans="1:3" x14ac:dyDescent="0.3">
      <c r="A22" s="6" t="s">
        <v>6</v>
      </c>
      <c r="B22" s="1">
        <v>4</v>
      </c>
      <c r="C22" s="1">
        <v>6</v>
      </c>
    </row>
    <row r="23" spans="1:3" x14ac:dyDescent="0.3">
      <c r="A23" s="6" t="s">
        <v>11</v>
      </c>
      <c r="B23" s="1">
        <v>3</v>
      </c>
      <c r="C23" s="1">
        <v>4</v>
      </c>
    </row>
    <row r="24" spans="1:3" x14ac:dyDescent="0.3">
      <c r="A24" s="6" t="s">
        <v>17</v>
      </c>
      <c r="B24" s="1">
        <v>1</v>
      </c>
      <c r="C24" s="1">
        <v>2</v>
      </c>
    </row>
    <row r="25" spans="1:3" x14ac:dyDescent="0.3">
      <c r="A25" s="6" t="s">
        <v>56</v>
      </c>
      <c r="B25" s="1">
        <v>22</v>
      </c>
      <c r="C25" s="1">
        <v>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workbookViewId="0">
      <selection activeCell="E5" sqref="E5"/>
    </sheetView>
  </sheetViews>
  <sheetFormatPr defaultRowHeight="14.4" x14ac:dyDescent="0.3"/>
  <cols>
    <col min="1" max="1" width="7.109375" customWidth="1"/>
    <col min="2" max="2" width="29.21875" bestFit="1" customWidth="1"/>
    <col min="3" max="3" width="17.33203125" bestFit="1" customWidth="1"/>
    <col min="4" max="4" width="17.33203125" customWidth="1"/>
    <col min="5" max="5" width="7.5546875" customWidth="1"/>
    <col min="6" max="6" width="10.109375" bestFit="1" customWidth="1"/>
    <col min="7" max="7" width="12.21875" bestFit="1" customWidth="1"/>
    <col min="8" max="8" width="17.88671875" customWidth="1"/>
    <col min="9" max="9" width="13.21875" bestFit="1" customWidth="1"/>
    <col min="10" max="10" width="18.88671875" customWidth="1"/>
    <col min="11" max="11" width="13.21875" bestFit="1" customWidth="1"/>
    <col min="12" max="12" width="18.88671875" customWidth="1"/>
    <col min="13" max="13" width="13.21875" bestFit="1" customWidth="1"/>
    <col min="14" max="14" width="18.88671875" customWidth="1"/>
    <col min="15" max="15" width="13.21875" bestFit="1" customWidth="1"/>
    <col min="16" max="16" width="18.88671875" customWidth="1"/>
    <col min="17" max="17" width="13.21875" bestFit="1" customWidth="1"/>
    <col min="18" max="18" width="18.88671875" customWidth="1"/>
    <col min="19" max="19" width="23.88671875" bestFit="1" customWidth="1"/>
  </cols>
  <sheetData>
    <row r="1" spans="1:19" s="2" customFormat="1" x14ac:dyDescent="0.3">
      <c r="A1" s="2" t="s">
        <v>0</v>
      </c>
      <c r="B1" s="2" t="s">
        <v>1</v>
      </c>
      <c r="C1" s="2" t="s">
        <v>2</v>
      </c>
      <c r="D1" s="2" t="s">
        <v>109</v>
      </c>
      <c r="E1" s="2" t="s">
        <v>3</v>
      </c>
      <c r="F1" s="2" t="s">
        <v>4</v>
      </c>
      <c r="G1" s="2" t="s">
        <v>69</v>
      </c>
      <c r="H1" s="2" t="s">
        <v>70</v>
      </c>
      <c r="I1" s="2" t="s">
        <v>71</v>
      </c>
      <c r="J1" s="2" t="s">
        <v>72</v>
      </c>
      <c r="K1" s="2" t="s">
        <v>73</v>
      </c>
      <c r="L1" s="2" t="s">
        <v>74</v>
      </c>
      <c r="M1" s="2" t="s">
        <v>75</v>
      </c>
      <c r="N1" s="2" t="s">
        <v>76</v>
      </c>
      <c r="O1" s="2" t="s">
        <v>77</v>
      </c>
      <c r="P1" s="2" t="s">
        <v>78</v>
      </c>
      <c r="Q1" s="2" t="s">
        <v>79</v>
      </c>
      <c r="R1" s="2" t="s">
        <v>80</v>
      </c>
      <c r="S1" s="2" t="s">
        <v>81</v>
      </c>
    </row>
    <row r="2" spans="1:19" x14ac:dyDescent="0.3">
      <c r="A2">
        <v>14</v>
      </c>
      <c r="B2" t="s">
        <v>32</v>
      </c>
      <c r="C2" t="s">
        <v>33</v>
      </c>
      <c r="D2" s="1">
        <v>0</v>
      </c>
      <c r="E2" s="1">
        <v>0</v>
      </c>
      <c r="F2" s="3">
        <v>0</v>
      </c>
      <c r="G2" s="5" t="s">
        <v>7</v>
      </c>
      <c r="H2" s="5">
        <v>-2</v>
      </c>
      <c r="I2" s="5" t="s">
        <v>7</v>
      </c>
      <c r="J2" s="5">
        <v>-2</v>
      </c>
      <c r="K2" s="5" t="s">
        <v>7</v>
      </c>
      <c r="L2" s="5">
        <v>0</v>
      </c>
      <c r="M2" s="5" t="s">
        <v>7</v>
      </c>
      <c r="N2" s="5">
        <v>0</v>
      </c>
      <c r="O2" s="5" t="s">
        <v>7</v>
      </c>
      <c r="P2" s="5">
        <v>0</v>
      </c>
      <c r="Q2" s="5" t="s">
        <v>7</v>
      </c>
      <c r="R2" s="5">
        <v>0</v>
      </c>
      <c r="S2" s="5">
        <v>2</v>
      </c>
    </row>
    <row r="3" spans="1:19" x14ac:dyDescent="0.3">
      <c r="A3">
        <v>16</v>
      </c>
      <c r="B3" t="s">
        <v>36</v>
      </c>
      <c r="C3" t="s">
        <v>37</v>
      </c>
      <c r="D3" s="1">
        <v>1</v>
      </c>
      <c r="E3" s="1">
        <v>0</v>
      </c>
      <c r="F3" s="3">
        <v>0</v>
      </c>
      <c r="G3" s="5" t="s">
        <v>7</v>
      </c>
      <c r="H3" s="5">
        <v>-3</v>
      </c>
      <c r="I3" s="5" t="s">
        <v>7</v>
      </c>
      <c r="J3" s="5">
        <v>0</v>
      </c>
      <c r="K3" s="5" t="s">
        <v>7</v>
      </c>
      <c r="L3" s="5">
        <v>0</v>
      </c>
      <c r="M3" s="5" t="s">
        <v>7</v>
      </c>
      <c r="N3" s="5">
        <v>0</v>
      </c>
      <c r="O3" s="5" t="s">
        <v>7</v>
      </c>
      <c r="P3" s="5">
        <v>0</v>
      </c>
      <c r="Q3" s="5" t="s">
        <v>7</v>
      </c>
      <c r="R3" s="5">
        <v>0</v>
      </c>
      <c r="S3" s="5">
        <v>1</v>
      </c>
    </row>
    <row r="4" spans="1:19" x14ac:dyDescent="0.3">
      <c r="A4">
        <v>18</v>
      </c>
      <c r="B4" t="s">
        <v>40</v>
      </c>
      <c r="C4" t="s">
        <v>41</v>
      </c>
      <c r="D4" s="1">
        <v>0</v>
      </c>
      <c r="E4" s="1">
        <v>0</v>
      </c>
      <c r="F4" s="3">
        <v>0</v>
      </c>
      <c r="G4" s="5" t="s">
        <v>7</v>
      </c>
      <c r="H4" s="5">
        <v>-3</v>
      </c>
      <c r="I4" s="5" t="s">
        <v>7</v>
      </c>
      <c r="J4" s="5">
        <v>0</v>
      </c>
      <c r="K4" s="5" t="s">
        <v>7</v>
      </c>
      <c r="L4" s="5">
        <v>0</v>
      </c>
      <c r="M4" s="5" t="s">
        <v>7</v>
      </c>
      <c r="N4" s="5">
        <v>0</v>
      </c>
      <c r="O4" s="5" t="s">
        <v>7</v>
      </c>
      <c r="P4" s="5">
        <v>0</v>
      </c>
      <c r="Q4" s="5" t="s">
        <v>7</v>
      </c>
      <c r="R4" s="5">
        <v>0</v>
      </c>
      <c r="S4" s="5">
        <v>1</v>
      </c>
    </row>
    <row r="5" spans="1:19" x14ac:dyDescent="0.3">
      <c r="A5">
        <v>3</v>
      </c>
      <c r="B5" t="s">
        <v>10</v>
      </c>
      <c r="C5" t="s">
        <v>11</v>
      </c>
      <c r="D5" s="17">
        <v>3</v>
      </c>
      <c r="E5" s="1">
        <v>4</v>
      </c>
      <c r="F5" s="12">
        <v>27.546168981481483</v>
      </c>
      <c r="G5" s="5" t="s">
        <v>7</v>
      </c>
      <c r="H5" s="5">
        <v>-2</v>
      </c>
      <c r="I5" s="5" t="s">
        <v>7</v>
      </c>
      <c r="J5" s="5">
        <v>0</v>
      </c>
      <c r="K5" s="4">
        <v>1.6180555555555556E-2</v>
      </c>
      <c r="L5" s="5">
        <v>1</v>
      </c>
      <c r="M5" s="4">
        <v>2.9988425925925922E-2</v>
      </c>
      <c r="N5" s="5">
        <v>2</v>
      </c>
      <c r="O5" s="5" t="s">
        <v>7</v>
      </c>
      <c r="P5" s="5">
        <v>0</v>
      </c>
      <c r="Q5" s="5" t="s">
        <v>7</v>
      </c>
      <c r="R5" s="5">
        <v>0</v>
      </c>
      <c r="S5" s="5">
        <v>3</v>
      </c>
    </row>
    <row r="6" spans="1:19" x14ac:dyDescent="0.3">
      <c r="A6">
        <v>6</v>
      </c>
      <c r="B6" t="s">
        <v>16</v>
      </c>
      <c r="C6" t="s">
        <v>17</v>
      </c>
      <c r="D6" s="1">
        <v>1</v>
      </c>
      <c r="E6" s="1">
        <v>2</v>
      </c>
      <c r="F6" s="11">
        <v>20.033622685185186</v>
      </c>
      <c r="G6" s="5" t="s">
        <v>7</v>
      </c>
      <c r="H6" s="5">
        <v>0</v>
      </c>
      <c r="I6" s="5" t="s">
        <v>7</v>
      </c>
      <c r="J6" s="5">
        <v>0</v>
      </c>
      <c r="K6" s="5" t="s">
        <v>7</v>
      </c>
      <c r="L6" s="5">
        <v>-3</v>
      </c>
      <c r="M6" s="4">
        <v>3.3622685185185179E-2</v>
      </c>
      <c r="N6" s="5">
        <v>2</v>
      </c>
      <c r="O6" s="5" t="s">
        <v>7</v>
      </c>
      <c r="P6" s="5">
        <v>0</v>
      </c>
      <c r="Q6" s="5" t="s">
        <v>7</v>
      </c>
      <c r="R6" s="5">
        <v>0</v>
      </c>
      <c r="S6" s="5">
        <v>2</v>
      </c>
    </row>
    <row r="7" spans="1:19" x14ac:dyDescent="0.3">
      <c r="A7">
        <v>8</v>
      </c>
      <c r="B7" t="s">
        <v>20</v>
      </c>
      <c r="C7" t="s">
        <v>21</v>
      </c>
      <c r="D7" s="17">
        <v>2</v>
      </c>
      <c r="E7" s="1">
        <v>2</v>
      </c>
      <c r="F7" s="11">
        <v>22.537800925925925</v>
      </c>
      <c r="G7" s="5" t="s">
        <v>7</v>
      </c>
      <c r="H7" s="5">
        <v>-1</v>
      </c>
      <c r="I7" s="5" t="s">
        <v>7</v>
      </c>
      <c r="J7" s="5">
        <v>-1</v>
      </c>
      <c r="K7" s="5" t="s">
        <v>7</v>
      </c>
      <c r="L7" s="5">
        <v>-1</v>
      </c>
      <c r="M7" s="4">
        <v>3.7800925925925925E-2</v>
      </c>
      <c r="N7" s="5">
        <v>2</v>
      </c>
      <c r="O7" s="5" t="s">
        <v>7</v>
      </c>
      <c r="P7" s="5">
        <v>0</v>
      </c>
      <c r="Q7" s="5" t="s">
        <v>7</v>
      </c>
      <c r="R7" s="5">
        <v>0</v>
      </c>
      <c r="S7" s="5">
        <v>4</v>
      </c>
    </row>
    <row r="8" spans="1:19" x14ac:dyDescent="0.3">
      <c r="A8">
        <v>21</v>
      </c>
      <c r="B8" t="s">
        <v>46</v>
      </c>
      <c r="C8" t="s">
        <v>47</v>
      </c>
      <c r="D8" s="1">
        <v>0</v>
      </c>
      <c r="E8" s="1">
        <v>0</v>
      </c>
      <c r="F8" s="3">
        <v>0</v>
      </c>
      <c r="G8" s="5" t="s">
        <v>7</v>
      </c>
      <c r="H8" s="5">
        <v>-1</v>
      </c>
      <c r="I8" s="5" t="s">
        <v>7</v>
      </c>
      <c r="J8" s="5">
        <v>0</v>
      </c>
      <c r="K8" s="5" t="s">
        <v>7</v>
      </c>
      <c r="L8" s="5">
        <v>0</v>
      </c>
      <c r="M8" s="5" t="s">
        <v>7</v>
      </c>
      <c r="N8" s="5">
        <v>0</v>
      </c>
      <c r="O8" s="5" t="s">
        <v>7</v>
      </c>
      <c r="P8" s="5">
        <v>0</v>
      </c>
      <c r="Q8" s="5" t="s">
        <v>7</v>
      </c>
      <c r="R8" s="5">
        <v>0</v>
      </c>
      <c r="S8" s="5">
        <v>1</v>
      </c>
    </row>
    <row r="9" spans="1:19" x14ac:dyDescent="0.3">
      <c r="A9">
        <v>7</v>
      </c>
      <c r="B9" t="s">
        <v>18</v>
      </c>
      <c r="C9" t="s">
        <v>19</v>
      </c>
      <c r="D9" s="1">
        <v>2</v>
      </c>
      <c r="E9" s="1">
        <v>2</v>
      </c>
      <c r="F9" s="11">
        <v>22.120439814814816</v>
      </c>
      <c r="G9" s="5" t="s">
        <v>7</v>
      </c>
      <c r="H9" s="5">
        <v>-2</v>
      </c>
      <c r="I9" s="5" t="s">
        <v>7</v>
      </c>
      <c r="J9" s="5">
        <v>0</v>
      </c>
      <c r="K9" s="5" t="s">
        <v>7</v>
      </c>
      <c r="L9" s="5">
        <v>0</v>
      </c>
      <c r="M9" s="4">
        <v>3.7106481481481483E-2</v>
      </c>
      <c r="N9" s="5">
        <v>2</v>
      </c>
      <c r="O9" s="5" t="s">
        <v>7</v>
      </c>
      <c r="P9" s="5">
        <v>0</v>
      </c>
      <c r="Q9" s="5" t="s">
        <v>7</v>
      </c>
      <c r="R9" s="5">
        <v>0</v>
      </c>
      <c r="S9" s="5">
        <v>2</v>
      </c>
    </row>
    <row r="10" spans="1:19" x14ac:dyDescent="0.3">
      <c r="A10">
        <v>15</v>
      </c>
      <c r="B10" t="s">
        <v>34</v>
      </c>
      <c r="C10" t="s">
        <v>35</v>
      </c>
      <c r="D10" s="1">
        <v>0</v>
      </c>
      <c r="E10" s="1">
        <v>0</v>
      </c>
      <c r="F10" s="3">
        <v>0</v>
      </c>
      <c r="G10" s="5" t="s">
        <v>7</v>
      </c>
      <c r="H10" s="5">
        <v>-3</v>
      </c>
      <c r="I10" s="5" t="s">
        <v>7</v>
      </c>
      <c r="J10" s="5">
        <v>0</v>
      </c>
      <c r="K10" s="5" t="s">
        <v>7</v>
      </c>
      <c r="L10" s="5">
        <v>0</v>
      </c>
      <c r="M10" s="5" t="s">
        <v>7</v>
      </c>
      <c r="N10" s="5">
        <v>0</v>
      </c>
      <c r="O10" s="5" t="s">
        <v>7</v>
      </c>
      <c r="P10" s="5">
        <v>0</v>
      </c>
      <c r="Q10" s="5" t="s">
        <v>7</v>
      </c>
      <c r="R10" s="5">
        <v>0</v>
      </c>
      <c r="S10" s="5">
        <v>1</v>
      </c>
    </row>
    <row r="11" spans="1:19" x14ac:dyDescent="0.3">
      <c r="A11">
        <v>20</v>
      </c>
      <c r="B11" t="s">
        <v>44</v>
      </c>
      <c r="C11" t="s">
        <v>45</v>
      </c>
      <c r="D11" s="1">
        <v>2</v>
      </c>
      <c r="E11" s="1">
        <v>0</v>
      </c>
      <c r="F11" s="3">
        <v>0</v>
      </c>
      <c r="G11" s="5" t="s">
        <v>7</v>
      </c>
      <c r="H11" s="5">
        <v>0</v>
      </c>
      <c r="I11" s="5" t="s">
        <v>7</v>
      </c>
      <c r="J11" s="5">
        <v>-1</v>
      </c>
      <c r="K11" s="5" t="s">
        <v>7</v>
      </c>
      <c r="L11" s="5">
        <v>0</v>
      </c>
      <c r="M11" s="5" t="s">
        <v>7</v>
      </c>
      <c r="N11" s="5">
        <v>0</v>
      </c>
      <c r="O11" s="5" t="s">
        <v>7</v>
      </c>
      <c r="P11" s="5">
        <v>0</v>
      </c>
      <c r="Q11" s="5" t="s">
        <v>7</v>
      </c>
      <c r="R11" s="5">
        <v>0</v>
      </c>
      <c r="S11" s="5">
        <v>1</v>
      </c>
    </row>
    <row r="12" spans="1:19" x14ac:dyDescent="0.3">
      <c r="A12">
        <v>10</v>
      </c>
      <c r="B12" t="s">
        <v>24</v>
      </c>
      <c r="C12" t="s">
        <v>25</v>
      </c>
      <c r="D12" s="1">
        <v>0</v>
      </c>
      <c r="E12" s="1">
        <v>0</v>
      </c>
      <c r="F12" s="3">
        <v>0</v>
      </c>
      <c r="G12" s="5" t="s">
        <v>7</v>
      </c>
      <c r="H12" s="5">
        <v>-2</v>
      </c>
      <c r="I12" s="5" t="s">
        <v>7</v>
      </c>
      <c r="J12" s="5">
        <v>0</v>
      </c>
      <c r="K12" s="5" t="s">
        <v>7</v>
      </c>
      <c r="L12" s="5">
        <v>0</v>
      </c>
      <c r="M12" s="5" t="s">
        <v>7</v>
      </c>
      <c r="N12" s="5">
        <v>0</v>
      </c>
      <c r="O12" s="5" t="s">
        <v>7</v>
      </c>
      <c r="P12" s="5">
        <v>0</v>
      </c>
      <c r="Q12" s="5" t="s">
        <v>7</v>
      </c>
      <c r="R12" s="5">
        <v>0</v>
      </c>
      <c r="S12" s="5">
        <v>1</v>
      </c>
    </row>
    <row r="13" spans="1:19" x14ac:dyDescent="0.3">
      <c r="A13">
        <v>5</v>
      </c>
      <c r="B13" t="s">
        <v>14</v>
      </c>
      <c r="C13" t="s">
        <v>15</v>
      </c>
      <c r="D13" s="17">
        <v>2</v>
      </c>
      <c r="E13" s="1">
        <v>2</v>
      </c>
      <c r="F13" s="11">
        <v>9.1824074074074069</v>
      </c>
      <c r="G13" s="5" t="s">
        <v>7</v>
      </c>
      <c r="H13" s="5">
        <v>-1</v>
      </c>
      <c r="I13" s="5" t="s">
        <v>7</v>
      </c>
      <c r="J13" s="5">
        <v>0</v>
      </c>
      <c r="K13" s="5" t="s">
        <v>7</v>
      </c>
      <c r="L13" s="5">
        <v>0</v>
      </c>
      <c r="M13" s="4">
        <v>1.5740740740740743E-2</v>
      </c>
      <c r="N13" s="5">
        <v>2</v>
      </c>
      <c r="O13" s="5" t="s">
        <v>7</v>
      </c>
      <c r="P13" s="5">
        <v>0</v>
      </c>
      <c r="Q13" s="5" t="s">
        <v>7</v>
      </c>
      <c r="R13" s="5">
        <v>0</v>
      </c>
      <c r="S13" s="5">
        <v>2</v>
      </c>
    </row>
    <row r="14" spans="1:19" x14ac:dyDescent="0.3">
      <c r="A14">
        <v>11</v>
      </c>
      <c r="B14" t="s">
        <v>26</v>
      </c>
      <c r="C14" t="s">
        <v>27</v>
      </c>
      <c r="D14" s="1">
        <v>0</v>
      </c>
      <c r="E14" s="1">
        <v>0</v>
      </c>
      <c r="F14" s="3">
        <v>0</v>
      </c>
      <c r="G14" s="5" t="s">
        <v>7</v>
      </c>
      <c r="H14" s="5">
        <v>-2</v>
      </c>
      <c r="I14" s="5" t="s">
        <v>7</v>
      </c>
      <c r="J14" s="5">
        <v>0</v>
      </c>
      <c r="K14" s="5" t="s">
        <v>7</v>
      </c>
      <c r="L14" s="5">
        <v>0</v>
      </c>
      <c r="M14" s="5" t="s">
        <v>7</v>
      </c>
      <c r="N14" s="5">
        <v>0</v>
      </c>
      <c r="O14" s="5" t="s">
        <v>7</v>
      </c>
      <c r="P14" s="5">
        <v>0</v>
      </c>
      <c r="Q14" s="5" t="s">
        <v>7</v>
      </c>
      <c r="R14" s="5">
        <v>0</v>
      </c>
      <c r="S14" s="5">
        <v>1</v>
      </c>
    </row>
    <row r="15" spans="1:19" x14ac:dyDescent="0.3">
      <c r="A15">
        <v>2</v>
      </c>
      <c r="B15" t="s">
        <v>8</v>
      </c>
      <c r="C15" t="s">
        <v>9</v>
      </c>
      <c r="D15" s="1">
        <v>0</v>
      </c>
      <c r="E15" s="1">
        <v>6</v>
      </c>
      <c r="F15" s="11">
        <v>70.116863425925928</v>
      </c>
      <c r="G15" s="5" t="s">
        <v>7</v>
      </c>
      <c r="H15" s="5">
        <v>0</v>
      </c>
      <c r="I15" s="4">
        <v>3.3402777777777774E-2</v>
      </c>
      <c r="J15" s="5">
        <v>1</v>
      </c>
      <c r="K15" s="4">
        <v>3.0532407407407411E-2</v>
      </c>
      <c r="L15" s="5">
        <v>2</v>
      </c>
      <c r="M15" s="4">
        <v>3.9039351851851853E-2</v>
      </c>
      <c r="N15" s="5">
        <v>2</v>
      </c>
      <c r="O15" s="5" t="s">
        <v>7</v>
      </c>
      <c r="P15" s="5">
        <v>0</v>
      </c>
      <c r="Q15" s="5" t="s">
        <v>7</v>
      </c>
      <c r="R15" s="5">
        <v>0</v>
      </c>
      <c r="S15" s="5">
        <v>3</v>
      </c>
    </row>
    <row r="16" spans="1:19" x14ac:dyDescent="0.3">
      <c r="A16">
        <v>13</v>
      </c>
      <c r="B16" t="s">
        <v>30</v>
      </c>
      <c r="C16" t="s">
        <v>31</v>
      </c>
      <c r="D16" s="1">
        <v>0</v>
      </c>
      <c r="E16" s="1">
        <v>0</v>
      </c>
      <c r="F16" s="3">
        <v>0</v>
      </c>
      <c r="G16" s="5" t="s">
        <v>7</v>
      </c>
      <c r="H16" s="5">
        <v>-1</v>
      </c>
      <c r="I16" s="5" t="s">
        <v>7</v>
      </c>
      <c r="J16" s="5">
        <v>0</v>
      </c>
      <c r="K16" s="5" t="s">
        <v>7</v>
      </c>
      <c r="L16" s="5">
        <v>-1</v>
      </c>
      <c r="M16" s="5" t="s">
        <v>7</v>
      </c>
      <c r="N16" s="5">
        <v>0</v>
      </c>
      <c r="O16" s="5" t="s">
        <v>7</v>
      </c>
      <c r="P16" s="5">
        <v>0</v>
      </c>
      <c r="Q16" s="5" t="s">
        <v>7</v>
      </c>
      <c r="R16" s="5">
        <v>0</v>
      </c>
      <c r="S16" s="5">
        <v>2</v>
      </c>
    </row>
    <row r="17" spans="1:19" x14ac:dyDescent="0.3">
      <c r="A17">
        <v>12</v>
      </c>
      <c r="B17" t="s">
        <v>28</v>
      </c>
      <c r="C17" t="s">
        <v>29</v>
      </c>
      <c r="D17" s="1">
        <v>0</v>
      </c>
      <c r="E17" s="1">
        <v>0</v>
      </c>
      <c r="F17" s="3">
        <v>0</v>
      </c>
      <c r="G17" s="5" t="s">
        <v>7</v>
      </c>
      <c r="H17" s="5">
        <v>-1</v>
      </c>
      <c r="I17" s="5" t="s">
        <v>7</v>
      </c>
      <c r="J17" s="5">
        <v>0</v>
      </c>
      <c r="K17" s="5" t="s">
        <v>7</v>
      </c>
      <c r="L17" s="5">
        <v>0</v>
      </c>
      <c r="M17" s="5" t="s">
        <v>7</v>
      </c>
      <c r="N17" s="5">
        <v>0</v>
      </c>
      <c r="O17" s="5" t="s">
        <v>7</v>
      </c>
      <c r="P17" s="5">
        <v>0</v>
      </c>
      <c r="Q17" s="5" t="s">
        <v>7</v>
      </c>
      <c r="R17" s="5">
        <v>0</v>
      </c>
      <c r="S17" s="5">
        <v>1</v>
      </c>
    </row>
    <row r="18" spans="1:19" x14ac:dyDescent="0.3">
      <c r="A18">
        <v>19</v>
      </c>
      <c r="B18" t="s">
        <v>42</v>
      </c>
      <c r="C18" t="s">
        <v>43</v>
      </c>
      <c r="D18" s="1">
        <v>0</v>
      </c>
      <c r="E18" s="1">
        <v>0</v>
      </c>
      <c r="F18" s="3">
        <v>0</v>
      </c>
      <c r="G18" s="5" t="s">
        <v>7</v>
      </c>
      <c r="H18" s="5">
        <v>-1</v>
      </c>
      <c r="I18" s="5" t="s">
        <v>7</v>
      </c>
      <c r="J18" s="5">
        <v>0</v>
      </c>
      <c r="K18" s="5" t="s">
        <v>7</v>
      </c>
      <c r="L18" s="5">
        <v>-1</v>
      </c>
      <c r="M18" s="5" t="s">
        <v>7</v>
      </c>
      <c r="N18" s="5">
        <v>0</v>
      </c>
      <c r="O18" s="5" t="s">
        <v>7</v>
      </c>
      <c r="P18" s="5">
        <v>0</v>
      </c>
      <c r="Q18" s="5" t="s">
        <v>7</v>
      </c>
      <c r="R18" s="5">
        <v>0</v>
      </c>
      <c r="S18" s="5">
        <v>2</v>
      </c>
    </row>
    <row r="19" spans="1:19" x14ac:dyDescent="0.3">
      <c r="A19">
        <v>17</v>
      </c>
      <c r="B19" t="s">
        <v>38</v>
      </c>
      <c r="C19" t="s">
        <v>39</v>
      </c>
      <c r="D19" s="1">
        <v>1</v>
      </c>
      <c r="E19" s="1">
        <v>0</v>
      </c>
      <c r="F19" s="3">
        <v>0</v>
      </c>
      <c r="G19" s="5" t="s">
        <v>7</v>
      </c>
      <c r="H19" s="5">
        <v>-1</v>
      </c>
      <c r="I19" s="5" t="s">
        <v>7</v>
      </c>
      <c r="J19" s="5">
        <v>0</v>
      </c>
      <c r="K19" s="5" t="s">
        <v>7</v>
      </c>
      <c r="L19" s="5">
        <v>0</v>
      </c>
      <c r="M19" s="5" t="s">
        <v>7</v>
      </c>
      <c r="N19" s="5">
        <v>0</v>
      </c>
      <c r="O19" s="5" t="s">
        <v>7</v>
      </c>
      <c r="P19" s="5">
        <v>0</v>
      </c>
      <c r="Q19" s="5" t="s">
        <v>7</v>
      </c>
      <c r="R19" s="5">
        <v>0</v>
      </c>
      <c r="S19" s="5">
        <v>1</v>
      </c>
    </row>
    <row r="20" spans="1:19" x14ac:dyDescent="0.3">
      <c r="A20">
        <v>9</v>
      </c>
      <c r="B20" t="s">
        <v>22</v>
      </c>
      <c r="C20" t="s">
        <v>23</v>
      </c>
      <c r="D20" s="17">
        <v>2</v>
      </c>
      <c r="E20" s="1">
        <v>0</v>
      </c>
      <c r="F20" s="3">
        <v>0</v>
      </c>
      <c r="G20" s="5" t="s">
        <v>7</v>
      </c>
      <c r="H20" s="5">
        <v>0</v>
      </c>
      <c r="I20" s="5" t="s">
        <v>7</v>
      </c>
      <c r="J20" s="5">
        <v>0</v>
      </c>
      <c r="K20" s="5" t="s">
        <v>7</v>
      </c>
      <c r="L20" s="5">
        <v>-4</v>
      </c>
      <c r="M20" s="5" t="s">
        <v>7</v>
      </c>
      <c r="N20" s="5">
        <v>0</v>
      </c>
      <c r="O20" s="5" t="s">
        <v>7</v>
      </c>
      <c r="P20" s="5">
        <v>0</v>
      </c>
      <c r="Q20" s="5" t="s">
        <v>7</v>
      </c>
      <c r="R20" s="5">
        <v>0</v>
      </c>
      <c r="S20" s="5">
        <v>1</v>
      </c>
    </row>
    <row r="21" spans="1:19" x14ac:dyDescent="0.3">
      <c r="A21">
        <v>1</v>
      </c>
      <c r="B21" t="s">
        <v>5</v>
      </c>
      <c r="C21" t="s">
        <v>6</v>
      </c>
      <c r="D21" s="17">
        <v>4</v>
      </c>
      <c r="E21" s="1">
        <v>6</v>
      </c>
      <c r="F21" s="11">
        <v>34.22429398148148</v>
      </c>
      <c r="G21" s="4">
        <v>1.2418981481481482E-2</v>
      </c>
      <c r="H21" s="5">
        <v>1</v>
      </c>
      <c r="I21" s="5" t="s">
        <v>7</v>
      </c>
      <c r="J21" s="5">
        <v>0</v>
      </c>
      <c r="K21" s="4">
        <v>2.494212962962963E-2</v>
      </c>
      <c r="L21" s="5">
        <v>2</v>
      </c>
      <c r="M21" s="4">
        <v>6.3773148148148148E-3</v>
      </c>
      <c r="N21" s="5">
        <v>2</v>
      </c>
      <c r="O21" s="5" t="s">
        <v>7</v>
      </c>
      <c r="P21" s="5">
        <v>-3</v>
      </c>
      <c r="Q21" s="5" t="s">
        <v>7</v>
      </c>
      <c r="R21" s="5">
        <v>0</v>
      </c>
      <c r="S21" s="5">
        <v>4</v>
      </c>
    </row>
    <row r="22" spans="1:19" x14ac:dyDescent="0.3">
      <c r="A22">
        <v>4</v>
      </c>
      <c r="B22" t="s">
        <v>12</v>
      </c>
      <c r="C22" t="s">
        <v>13</v>
      </c>
      <c r="D22" s="1">
        <v>2</v>
      </c>
      <c r="E22" s="1">
        <v>4</v>
      </c>
      <c r="F22" s="11">
        <v>29.215740740740742</v>
      </c>
      <c r="G22" s="4">
        <v>1.5243055555555557E-2</v>
      </c>
      <c r="H22" s="5">
        <v>2</v>
      </c>
      <c r="I22" s="5" t="s">
        <v>7</v>
      </c>
      <c r="J22" s="5">
        <v>-4</v>
      </c>
      <c r="K22" s="5" t="s">
        <v>7</v>
      </c>
      <c r="L22" s="5">
        <v>-2</v>
      </c>
      <c r="M22" s="4">
        <v>3.3831018518518517E-2</v>
      </c>
      <c r="N22" s="5">
        <v>2</v>
      </c>
      <c r="O22" s="5" t="s">
        <v>7</v>
      </c>
      <c r="P22" s="5">
        <v>0</v>
      </c>
      <c r="Q22" s="5" t="s">
        <v>7</v>
      </c>
      <c r="R22" s="5">
        <v>0</v>
      </c>
      <c r="S22" s="5">
        <v>4</v>
      </c>
    </row>
    <row r="23" spans="1:19" x14ac:dyDescent="0.3">
      <c r="E23" s="5"/>
      <c r="F23" s="5"/>
      <c r="I23" s="10"/>
      <c r="M23" s="10"/>
    </row>
    <row r="25" spans="1:19" x14ac:dyDescent="0.3">
      <c r="K25"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5"/>
  <sheetViews>
    <sheetView workbookViewId="0">
      <selection activeCell="P9" sqref="P9"/>
    </sheetView>
  </sheetViews>
  <sheetFormatPr defaultRowHeight="14.4" x14ac:dyDescent="0.3"/>
  <cols>
    <col min="1" max="1" width="17.33203125" bestFit="1" customWidth="1"/>
    <col min="2" max="2" width="10.33203125" bestFit="1" customWidth="1"/>
    <col min="3" max="3" width="17.6640625" bestFit="1" customWidth="1"/>
    <col min="4" max="4" width="13.88671875" bestFit="1" customWidth="1"/>
  </cols>
  <sheetData>
    <row r="3" spans="1:3" x14ac:dyDescent="0.3">
      <c r="A3" s="7" t="s">
        <v>55</v>
      </c>
      <c r="B3" t="s">
        <v>82</v>
      </c>
      <c r="C3" t="s">
        <v>83</v>
      </c>
    </row>
    <row r="4" spans="1:3" x14ac:dyDescent="0.3">
      <c r="A4" s="6" t="s">
        <v>6</v>
      </c>
      <c r="B4" s="1">
        <v>6</v>
      </c>
      <c r="C4" s="1">
        <v>4</v>
      </c>
    </row>
    <row r="5" spans="1:3" x14ac:dyDescent="0.3">
      <c r="A5" s="6" t="s">
        <v>9</v>
      </c>
      <c r="B5" s="1">
        <v>6</v>
      </c>
      <c r="C5" s="1">
        <v>3</v>
      </c>
    </row>
    <row r="6" spans="1:3" x14ac:dyDescent="0.3">
      <c r="A6" s="6" t="s">
        <v>11</v>
      </c>
      <c r="B6" s="1">
        <v>4</v>
      </c>
      <c r="C6" s="1">
        <v>3</v>
      </c>
    </row>
    <row r="7" spans="1:3" x14ac:dyDescent="0.3">
      <c r="A7" s="6" t="s">
        <v>13</v>
      </c>
      <c r="B7" s="1">
        <v>4</v>
      </c>
      <c r="C7" s="1">
        <v>4</v>
      </c>
    </row>
    <row r="8" spans="1:3" x14ac:dyDescent="0.3">
      <c r="A8" s="6" t="s">
        <v>15</v>
      </c>
      <c r="B8" s="1">
        <v>2</v>
      </c>
      <c r="C8" s="1">
        <v>2</v>
      </c>
    </row>
    <row r="9" spans="1:3" x14ac:dyDescent="0.3">
      <c r="A9" s="6" t="s">
        <v>21</v>
      </c>
      <c r="B9" s="1">
        <v>2</v>
      </c>
      <c r="C9" s="1">
        <v>4</v>
      </c>
    </row>
    <row r="10" spans="1:3" x14ac:dyDescent="0.3">
      <c r="A10" s="6" t="s">
        <v>19</v>
      </c>
      <c r="B10" s="1">
        <v>2</v>
      </c>
      <c r="C10" s="1">
        <v>2</v>
      </c>
    </row>
    <row r="11" spans="1:3" x14ac:dyDescent="0.3">
      <c r="A11" s="6" t="s">
        <v>17</v>
      </c>
      <c r="B11" s="1">
        <v>2</v>
      </c>
      <c r="C11" s="1">
        <v>2</v>
      </c>
    </row>
    <row r="12" spans="1:3" x14ac:dyDescent="0.3">
      <c r="A12" s="6" t="s">
        <v>27</v>
      </c>
      <c r="B12" s="1">
        <v>0</v>
      </c>
      <c r="C12" s="1">
        <v>1</v>
      </c>
    </row>
    <row r="13" spans="1:3" x14ac:dyDescent="0.3">
      <c r="A13" s="6" t="s">
        <v>23</v>
      </c>
      <c r="B13" s="1">
        <v>0</v>
      </c>
      <c r="C13" s="1">
        <v>1</v>
      </c>
    </row>
    <row r="14" spans="1:3" x14ac:dyDescent="0.3">
      <c r="A14" s="6" t="s">
        <v>37</v>
      </c>
      <c r="B14" s="1">
        <v>0</v>
      </c>
      <c r="C14" s="1">
        <v>1</v>
      </c>
    </row>
    <row r="15" spans="1:3" x14ac:dyDescent="0.3">
      <c r="A15" s="6" t="s">
        <v>41</v>
      </c>
      <c r="B15" s="1">
        <v>0</v>
      </c>
      <c r="C15" s="1">
        <v>1</v>
      </c>
    </row>
    <row r="16" spans="1:3" x14ac:dyDescent="0.3">
      <c r="A16" s="6" t="s">
        <v>47</v>
      </c>
      <c r="B16" s="1">
        <v>0</v>
      </c>
      <c r="C16" s="1">
        <v>1</v>
      </c>
    </row>
    <row r="17" spans="1:3" x14ac:dyDescent="0.3">
      <c r="A17" s="6" t="s">
        <v>39</v>
      </c>
      <c r="B17" s="1">
        <v>0</v>
      </c>
      <c r="C17" s="1">
        <v>1</v>
      </c>
    </row>
    <row r="18" spans="1:3" x14ac:dyDescent="0.3">
      <c r="A18" s="6" t="s">
        <v>31</v>
      </c>
      <c r="B18" s="1">
        <v>0</v>
      </c>
      <c r="C18" s="1">
        <v>2</v>
      </c>
    </row>
    <row r="19" spans="1:3" x14ac:dyDescent="0.3">
      <c r="A19" s="6" t="s">
        <v>29</v>
      </c>
      <c r="B19" s="1">
        <v>0</v>
      </c>
      <c r="C19" s="1">
        <v>1</v>
      </c>
    </row>
    <row r="20" spans="1:3" x14ac:dyDescent="0.3">
      <c r="A20" s="6" t="s">
        <v>33</v>
      </c>
      <c r="B20" s="1">
        <v>0</v>
      </c>
      <c r="C20" s="1">
        <v>2</v>
      </c>
    </row>
    <row r="21" spans="1:3" x14ac:dyDescent="0.3">
      <c r="A21" s="6" t="s">
        <v>45</v>
      </c>
      <c r="B21" s="1">
        <v>0</v>
      </c>
      <c r="C21" s="1">
        <v>1</v>
      </c>
    </row>
    <row r="22" spans="1:3" x14ac:dyDescent="0.3">
      <c r="A22" s="6" t="s">
        <v>25</v>
      </c>
      <c r="B22" s="1">
        <v>0</v>
      </c>
      <c r="C22" s="1">
        <v>1</v>
      </c>
    </row>
    <row r="23" spans="1:3" x14ac:dyDescent="0.3">
      <c r="A23" s="6" t="s">
        <v>35</v>
      </c>
      <c r="B23" s="1">
        <v>0</v>
      </c>
      <c r="C23" s="1">
        <v>1</v>
      </c>
    </row>
    <row r="24" spans="1:3" x14ac:dyDescent="0.3">
      <c r="A24" s="6" t="s">
        <v>43</v>
      </c>
      <c r="B24" s="1">
        <v>0</v>
      </c>
      <c r="C24" s="1">
        <v>2</v>
      </c>
    </row>
    <row r="25" spans="1:3" x14ac:dyDescent="0.3">
      <c r="A25" s="6" t="s">
        <v>56</v>
      </c>
      <c r="B25" s="1">
        <v>28</v>
      </c>
      <c r="C25" s="1">
        <v>40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5"/>
  <sheetViews>
    <sheetView workbookViewId="0">
      <selection activeCell="D3" sqref="D3"/>
    </sheetView>
  </sheetViews>
  <sheetFormatPr defaultRowHeight="14.4" x14ac:dyDescent="0.3"/>
  <cols>
    <col min="1" max="1" width="17.33203125" bestFit="1" customWidth="1"/>
    <col min="2" max="2" width="17.88671875" bestFit="1" customWidth="1"/>
    <col min="3" max="4" width="17.33203125" bestFit="1" customWidth="1"/>
    <col min="5" max="5" width="17.44140625" bestFit="1" customWidth="1"/>
    <col min="6" max="6" width="17.21875" bestFit="1" customWidth="1"/>
    <col min="7" max="7" width="17" bestFit="1" customWidth="1"/>
    <col min="8" max="8" width="23.6640625" bestFit="1" customWidth="1"/>
  </cols>
  <sheetData>
    <row r="3" spans="1:7" x14ac:dyDescent="0.3">
      <c r="A3" s="7" t="s">
        <v>55</v>
      </c>
      <c r="B3" t="s">
        <v>88</v>
      </c>
      <c r="C3" t="s">
        <v>89</v>
      </c>
      <c r="D3" t="s">
        <v>90</v>
      </c>
      <c r="E3" t="s">
        <v>91</v>
      </c>
      <c r="F3" t="s">
        <v>92</v>
      </c>
      <c r="G3" t="s">
        <v>93</v>
      </c>
    </row>
    <row r="4" spans="1:7" x14ac:dyDescent="0.3">
      <c r="A4" s="6" t="s">
        <v>39</v>
      </c>
      <c r="B4" s="1">
        <v>-1</v>
      </c>
      <c r="C4" s="1">
        <v>0</v>
      </c>
      <c r="D4" s="1">
        <v>0</v>
      </c>
      <c r="E4" s="1">
        <v>0</v>
      </c>
      <c r="F4" s="1">
        <v>0</v>
      </c>
      <c r="G4" s="1">
        <v>0</v>
      </c>
    </row>
    <row r="5" spans="1:7" x14ac:dyDescent="0.3">
      <c r="A5" s="6" t="s">
        <v>41</v>
      </c>
      <c r="B5" s="1">
        <v>-3</v>
      </c>
      <c r="C5" s="1">
        <v>0</v>
      </c>
      <c r="D5" s="1">
        <v>0</v>
      </c>
      <c r="E5" s="1">
        <v>0</v>
      </c>
      <c r="F5" s="1">
        <v>0</v>
      </c>
      <c r="G5" s="1">
        <v>0</v>
      </c>
    </row>
    <row r="6" spans="1:7" x14ac:dyDescent="0.3">
      <c r="A6" s="6" t="s">
        <v>29</v>
      </c>
      <c r="B6" s="1">
        <v>-1</v>
      </c>
      <c r="C6" s="1">
        <v>0</v>
      </c>
      <c r="D6" s="1">
        <v>0</v>
      </c>
      <c r="E6" s="1">
        <v>0</v>
      </c>
      <c r="F6" s="1">
        <v>0</v>
      </c>
      <c r="G6" s="1">
        <v>0</v>
      </c>
    </row>
    <row r="7" spans="1:7" x14ac:dyDescent="0.3">
      <c r="A7" s="6" t="s">
        <v>33</v>
      </c>
      <c r="B7" s="1">
        <v>-2</v>
      </c>
      <c r="C7" s="1">
        <v>-2</v>
      </c>
      <c r="D7" s="1">
        <v>0</v>
      </c>
      <c r="E7" s="1">
        <v>0</v>
      </c>
      <c r="F7" s="1">
        <v>0</v>
      </c>
      <c r="G7" s="1">
        <v>0</v>
      </c>
    </row>
    <row r="8" spans="1:7" x14ac:dyDescent="0.3">
      <c r="A8" s="6" t="s">
        <v>21</v>
      </c>
      <c r="B8" s="1">
        <v>-1</v>
      </c>
      <c r="C8" s="1">
        <v>-1</v>
      </c>
      <c r="D8" s="1">
        <v>-1</v>
      </c>
      <c r="E8" s="1">
        <v>2</v>
      </c>
      <c r="F8" s="1">
        <v>0</v>
      </c>
      <c r="G8" s="1">
        <v>0</v>
      </c>
    </row>
    <row r="9" spans="1:7" x14ac:dyDescent="0.3">
      <c r="A9" s="6" t="s">
        <v>13</v>
      </c>
      <c r="B9" s="1">
        <v>2</v>
      </c>
      <c r="C9" s="1">
        <v>-4</v>
      </c>
      <c r="D9" s="1">
        <v>-2</v>
      </c>
      <c r="E9" s="1">
        <v>2</v>
      </c>
      <c r="F9" s="1">
        <v>0</v>
      </c>
      <c r="G9" s="1">
        <v>0</v>
      </c>
    </row>
    <row r="10" spans="1:7" x14ac:dyDescent="0.3">
      <c r="A10" s="6" t="s">
        <v>47</v>
      </c>
      <c r="B10" s="1">
        <v>-1</v>
      </c>
      <c r="C10" s="1">
        <v>0</v>
      </c>
      <c r="D10" s="1">
        <v>0</v>
      </c>
      <c r="E10" s="1">
        <v>0</v>
      </c>
      <c r="F10" s="1">
        <v>0</v>
      </c>
      <c r="G10" s="1">
        <v>0</v>
      </c>
    </row>
    <row r="11" spans="1:7" x14ac:dyDescent="0.3">
      <c r="A11" s="6" t="s">
        <v>19</v>
      </c>
      <c r="B11" s="1">
        <v>-2</v>
      </c>
      <c r="C11" s="1">
        <v>0</v>
      </c>
      <c r="D11" s="1">
        <v>0</v>
      </c>
      <c r="E11" s="1">
        <v>2</v>
      </c>
      <c r="F11" s="1">
        <v>0</v>
      </c>
      <c r="G11" s="1">
        <v>0</v>
      </c>
    </row>
    <row r="12" spans="1:7" x14ac:dyDescent="0.3">
      <c r="A12" s="6" t="s">
        <v>23</v>
      </c>
      <c r="B12" s="1">
        <v>0</v>
      </c>
      <c r="C12" s="1">
        <v>0</v>
      </c>
      <c r="D12" s="1">
        <v>-4</v>
      </c>
      <c r="E12" s="1">
        <v>0</v>
      </c>
      <c r="F12" s="1">
        <v>0</v>
      </c>
      <c r="G12" s="1">
        <v>0</v>
      </c>
    </row>
    <row r="13" spans="1:7" x14ac:dyDescent="0.3">
      <c r="A13" s="6" t="s">
        <v>35</v>
      </c>
      <c r="B13" s="1">
        <v>-3</v>
      </c>
      <c r="C13" s="1">
        <v>0</v>
      </c>
      <c r="D13" s="1">
        <v>0</v>
      </c>
      <c r="E13" s="1">
        <v>0</v>
      </c>
      <c r="F13" s="1">
        <v>0</v>
      </c>
      <c r="G13" s="1">
        <v>0</v>
      </c>
    </row>
    <row r="14" spans="1:7" x14ac:dyDescent="0.3">
      <c r="A14" s="6" t="s">
        <v>43</v>
      </c>
      <c r="B14" s="1">
        <v>-1</v>
      </c>
      <c r="C14" s="1">
        <v>0</v>
      </c>
      <c r="D14" s="1">
        <v>-1</v>
      </c>
      <c r="E14" s="1">
        <v>0</v>
      </c>
      <c r="F14" s="1">
        <v>0</v>
      </c>
      <c r="G14" s="1">
        <v>0</v>
      </c>
    </row>
    <row r="15" spans="1:7" x14ac:dyDescent="0.3">
      <c r="A15" s="6" t="s">
        <v>15</v>
      </c>
      <c r="B15" s="1">
        <v>-1</v>
      </c>
      <c r="C15" s="1">
        <v>0</v>
      </c>
      <c r="D15" s="1">
        <v>0</v>
      </c>
      <c r="E15" s="1">
        <v>2</v>
      </c>
      <c r="F15" s="1">
        <v>0</v>
      </c>
      <c r="G15" s="1">
        <v>0</v>
      </c>
    </row>
    <row r="16" spans="1:7" x14ac:dyDescent="0.3">
      <c r="A16" s="6" t="s">
        <v>45</v>
      </c>
      <c r="B16" s="1">
        <v>0</v>
      </c>
      <c r="C16" s="1">
        <v>-1</v>
      </c>
      <c r="D16" s="1">
        <v>0</v>
      </c>
      <c r="E16" s="1">
        <v>0</v>
      </c>
      <c r="F16" s="1">
        <v>0</v>
      </c>
      <c r="G16" s="1">
        <v>0</v>
      </c>
    </row>
    <row r="17" spans="1:7" x14ac:dyDescent="0.3">
      <c r="A17" s="6" t="s">
        <v>25</v>
      </c>
      <c r="B17" s="1">
        <v>-2</v>
      </c>
      <c r="C17" s="1">
        <v>0</v>
      </c>
      <c r="D17" s="1">
        <v>0</v>
      </c>
      <c r="E17" s="1">
        <v>0</v>
      </c>
      <c r="F17" s="1">
        <v>0</v>
      </c>
      <c r="G17" s="1">
        <v>0</v>
      </c>
    </row>
    <row r="18" spans="1:7" x14ac:dyDescent="0.3">
      <c r="A18" s="6" t="s">
        <v>9</v>
      </c>
      <c r="B18" s="1">
        <v>0</v>
      </c>
      <c r="C18" s="1">
        <v>1</v>
      </c>
      <c r="D18" s="1">
        <v>2</v>
      </c>
      <c r="E18" s="1">
        <v>2</v>
      </c>
      <c r="F18" s="1">
        <v>0</v>
      </c>
      <c r="G18" s="1">
        <v>0</v>
      </c>
    </row>
    <row r="19" spans="1:7" x14ac:dyDescent="0.3">
      <c r="A19" s="6" t="s">
        <v>27</v>
      </c>
      <c r="B19" s="1">
        <v>-2</v>
      </c>
      <c r="C19" s="1">
        <v>0</v>
      </c>
      <c r="D19" s="1">
        <v>0</v>
      </c>
      <c r="E19" s="1">
        <v>0</v>
      </c>
      <c r="F19" s="1">
        <v>0</v>
      </c>
      <c r="G19" s="1">
        <v>0</v>
      </c>
    </row>
    <row r="20" spans="1:7" x14ac:dyDescent="0.3">
      <c r="A20" s="6" t="s">
        <v>31</v>
      </c>
      <c r="B20" s="1">
        <v>-1</v>
      </c>
      <c r="C20" s="1">
        <v>0</v>
      </c>
      <c r="D20" s="1">
        <v>-1</v>
      </c>
      <c r="E20" s="1">
        <v>0</v>
      </c>
      <c r="F20" s="1">
        <v>0</v>
      </c>
      <c r="G20" s="1">
        <v>0</v>
      </c>
    </row>
    <row r="21" spans="1:7" x14ac:dyDescent="0.3">
      <c r="A21" s="6" t="s">
        <v>37</v>
      </c>
      <c r="B21" s="1">
        <v>-3</v>
      </c>
      <c r="C21" s="1">
        <v>0</v>
      </c>
      <c r="D21" s="1">
        <v>0</v>
      </c>
      <c r="E21" s="1">
        <v>0</v>
      </c>
      <c r="F21" s="1">
        <v>0</v>
      </c>
      <c r="G21" s="1">
        <v>0</v>
      </c>
    </row>
    <row r="22" spans="1:7" x14ac:dyDescent="0.3">
      <c r="A22" s="6" t="s">
        <v>6</v>
      </c>
      <c r="B22" s="1">
        <v>1</v>
      </c>
      <c r="C22" s="1">
        <v>0</v>
      </c>
      <c r="D22" s="1">
        <v>2</v>
      </c>
      <c r="E22" s="1">
        <v>2</v>
      </c>
      <c r="F22" s="1">
        <v>-3</v>
      </c>
      <c r="G22" s="1">
        <v>0</v>
      </c>
    </row>
    <row r="23" spans="1:7" x14ac:dyDescent="0.3">
      <c r="A23" s="6" t="s">
        <v>11</v>
      </c>
      <c r="B23" s="1">
        <v>-2</v>
      </c>
      <c r="C23" s="1">
        <v>0</v>
      </c>
      <c r="D23" s="1">
        <v>1</v>
      </c>
      <c r="E23" s="1">
        <v>2</v>
      </c>
      <c r="F23" s="1">
        <v>0</v>
      </c>
      <c r="G23" s="1">
        <v>0</v>
      </c>
    </row>
    <row r="24" spans="1:7" x14ac:dyDescent="0.3">
      <c r="A24" s="6" t="s">
        <v>17</v>
      </c>
      <c r="B24" s="1">
        <v>0</v>
      </c>
      <c r="C24" s="1">
        <v>0</v>
      </c>
      <c r="D24" s="1">
        <v>-3</v>
      </c>
      <c r="E24" s="1">
        <v>2</v>
      </c>
      <c r="F24" s="1">
        <v>0</v>
      </c>
      <c r="G24" s="1">
        <v>0</v>
      </c>
    </row>
    <row r="25" spans="1:7" x14ac:dyDescent="0.3">
      <c r="A25" s="6" t="s">
        <v>56</v>
      </c>
      <c r="B25" s="1">
        <v>-23</v>
      </c>
      <c r="C25" s="1">
        <v>-7</v>
      </c>
      <c r="D25" s="1">
        <v>-7</v>
      </c>
      <c r="E25" s="1">
        <v>16</v>
      </c>
      <c r="F25" s="1">
        <v>-3</v>
      </c>
      <c r="G25" s="1">
        <v>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workbookViewId="0">
      <selection activeCell="L6" sqref="L6"/>
    </sheetView>
  </sheetViews>
  <sheetFormatPr defaultRowHeight="14.4" x14ac:dyDescent="0.3"/>
  <cols>
    <col min="1" max="1" width="17.33203125" bestFit="1" customWidth="1"/>
    <col min="2" max="2" width="10.109375" bestFit="1" customWidth="1"/>
  </cols>
  <sheetData>
    <row r="3" spans="1:2" x14ac:dyDescent="0.3">
      <c r="A3" s="7" t="s">
        <v>55</v>
      </c>
      <c r="B3" t="s">
        <v>87</v>
      </c>
    </row>
    <row r="4" spans="1:2" x14ac:dyDescent="0.3">
      <c r="A4" s="6" t="s">
        <v>39</v>
      </c>
      <c r="B4" s="11">
        <v>0</v>
      </c>
    </row>
    <row r="5" spans="1:2" x14ac:dyDescent="0.3">
      <c r="A5" s="6" t="s">
        <v>41</v>
      </c>
      <c r="B5" s="11">
        <v>0</v>
      </c>
    </row>
    <row r="6" spans="1:2" x14ac:dyDescent="0.3">
      <c r="A6" s="6" t="s">
        <v>29</v>
      </c>
      <c r="B6" s="11">
        <v>0</v>
      </c>
    </row>
    <row r="7" spans="1:2" x14ac:dyDescent="0.3">
      <c r="A7" s="6" t="s">
        <v>33</v>
      </c>
      <c r="B7" s="11">
        <v>0</v>
      </c>
    </row>
    <row r="8" spans="1:2" x14ac:dyDescent="0.3">
      <c r="A8" s="6" t="s">
        <v>21</v>
      </c>
      <c r="B8" s="11">
        <v>22.537800925925925</v>
      </c>
    </row>
    <row r="9" spans="1:2" x14ac:dyDescent="0.3">
      <c r="A9" s="6" t="s">
        <v>13</v>
      </c>
      <c r="B9" s="11">
        <v>29.215740740740742</v>
      </c>
    </row>
    <row r="10" spans="1:2" x14ac:dyDescent="0.3">
      <c r="A10" s="6" t="s">
        <v>47</v>
      </c>
      <c r="B10" s="11">
        <v>0</v>
      </c>
    </row>
    <row r="11" spans="1:2" x14ac:dyDescent="0.3">
      <c r="A11" s="6" t="s">
        <v>19</v>
      </c>
      <c r="B11" s="11">
        <v>22.120439814814816</v>
      </c>
    </row>
    <row r="12" spans="1:2" x14ac:dyDescent="0.3">
      <c r="A12" s="6" t="s">
        <v>23</v>
      </c>
      <c r="B12" s="11">
        <v>0</v>
      </c>
    </row>
    <row r="13" spans="1:2" x14ac:dyDescent="0.3">
      <c r="A13" s="6" t="s">
        <v>35</v>
      </c>
      <c r="B13" s="11">
        <v>0</v>
      </c>
    </row>
    <row r="14" spans="1:2" x14ac:dyDescent="0.3">
      <c r="A14" s="6" t="s">
        <v>43</v>
      </c>
      <c r="B14" s="11">
        <v>0</v>
      </c>
    </row>
    <row r="15" spans="1:2" x14ac:dyDescent="0.3">
      <c r="A15" s="6" t="s">
        <v>15</v>
      </c>
      <c r="B15" s="11">
        <v>9.1824074074074069</v>
      </c>
    </row>
    <row r="16" spans="1:2" x14ac:dyDescent="0.3">
      <c r="A16" s="6" t="s">
        <v>45</v>
      </c>
      <c r="B16" s="11">
        <v>0</v>
      </c>
    </row>
    <row r="17" spans="1:2" x14ac:dyDescent="0.3">
      <c r="A17" s="6" t="s">
        <v>25</v>
      </c>
      <c r="B17" s="11">
        <v>0</v>
      </c>
    </row>
    <row r="18" spans="1:2" x14ac:dyDescent="0.3">
      <c r="A18" s="6" t="s">
        <v>9</v>
      </c>
      <c r="B18" s="11">
        <v>70.116863425925928</v>
      </c>
    </row>
    <row r="19" spans="1:2" x14ac:dyDescent="0.3">
      <c r="A19" s="6" t="s">
        <v>27</v>
      </c>
      <c r="B19" s="11">
        <v>0</v>
      </c>
    </row>
    <row r="20" spans="1:2" x14ac:dyDescent="0.3">
      <c r="A20" s="6" t="s">
        <v>31</v>
      </c>
      <c r="B20" s="11">
        <v>0</v>
      </c>
    </row>
    <row r="21" spans="1:2" x14ac:dyDescent="0.3">
      <c r="A21" s="6" t="s">
        <v>37</v>
      </c>
      <c r="B21" s="11">
        <v>0</v>
      </c>
    </row>
    <row r="22" spans="1:2" x14ac:dyDescent="0.3">
      <c r="A22" s="6" t="s">
        <v>6</v>
      </c>
      <c r="B22" s="11">
        <v>34.22429398148148</v>
      </c>
    </row>
    <row r="23" spans="1:2" x14ac:dyDescent="0.3">
      <c r="A23" s="6" t="s">
        <v>11</v>
      </c>
      <c r="B23" s="11">
        <v>27.546168981481483</v>
      </c>
    </row>
    <row r="24" spans="1:2" x14ac:dyDescent="0.3">
      <c r="A24" s="6" t="s">
        <v>17</v>
      </c>
      <c r="B24" s="11">
        <v>20.033622685185186</v>
      </c>
    </row>
    <row r="25" spans="1:2" x14ac:dyDescent="0.3">
      <c r="A25" s="6" t="s">
        <v>56</v>
      </c>
      <c r="B25" s="11">
        <v>234.97733796296296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33"/>
  <sheetViews>
    <sheetView topLeftCell="A4" workbookViewId="0">
      <selection activeCell="F7" sqref="F7"/>
    </sheetView>
  </sheetViews>
  <sheetFormatPr defaultRowHeight="14.4" x14ac:dyDescent="0.3"/>
  <cols>
    <col min="1" max="1" width="12.5546875" bestFit="1" customWidth="1"/>
    <col min="2" max="2" width="25" customWidth="1"/>
    <col min="3" max="3" width="20.44140625" customWidth="1"/>
    <col min="4" max="4" width="20.77734375" customWidth="1"/>
    <col min="5" max="5" width="13.5546875" customWidth="1"/>
    <col min="6" max="6" width="20.44140625" bestFit="1" customWidth="1"/>
    <col min="7" max="7" width="15.44140625" bestFit="1" customWidth="1"/>
    <col min="8" max="8" width="12.109375" bestFit="1" customWidth="1"/>
    <col min="9" max="9" width="13.5546875" bestFit="1" customWidth="1"/>
    <col min="10" max="10" width="20.77734375" bestFit="1" customWidth="1"/>
    <col min="11" max="11" width="15.44140625" bestFit="1" customWidth="1"/>
    <col min="12" max="12" width="12.109375" bestFit="1" customWidth="1"/>
    <col min="13" max="13" width="13.5546875" bestFit="1" customWidth="1"/>
    <col min="14" max="14" width="29.88671875" bestFit="1" customWidth="1"/>
    <col min="15" max="15" width="25.21875" bestFit="1" customWidth="1"/>
    <col min="16" max="16" width="25.6640625" bestFit="1" customWidth="1"/>
  </cols>
  <sheetData>
    <row r="5" spans="2:6" x14ac:dyDescent="0.3">
      <c r="B5" t="s">
        <v>68</v>
      </c>
      <c r="C5" t="s">
        <v>63</v>
      </c>
      <c r="D5" t="s">
        <v>64</v>
      </c>
      <c r="E5" t="s">
        <v>65</v>
      </c>
      <c r="F5" t="s">
        <v>66</v>
      </c>
    </row>
    <row r="6" spans="2:6" x14ac:dyDescent="0.3">
      <c r="B6" t="s">
        <v>57</v>
      </c>
      <c r="C6" s="9">
        <f>AVERAGE(Table1[Question A])</f>
        <v>1.383101851851852E-2</v>
      </c>
      <c r="D6" s="9">
        <f>MIN(Table1[Question A])</f>
        <v>1.2418981481481482E-2</v>
      </c>
      <c r="E6" s="9">
        <f>MAX(Table1[Question A])</f>
        <v>1.5243055555555557E-2</v>
      </c>
      <c r="F6" s="1" t="str">
        <f>INDEX(Table1[Teams Title], MATCH(MIN(Table1[Question A]), Table1[Question A],0))</f>
        <v>Team Django</v>
      </c>
    </row>
    <row r="7" spans="2:6" x14ac:dyDescent="0.3">
      <c r="B7" t="s">
        <v>58</v>
      </c>
      <c r="C7" s="9">
        <f>AVERAGE(Table1[Question B])</f>
        <v>3.3402777777777774E-2</v>
      </c>
      <c r="D7" s="9">
        <f>MIN(Table1[Question B])</f>
        <v>3.3402777777777774E-2</v>
      </c>
      <c r="E7" s="9">
        <f>MAX(Table1[Question B])</f>
        <v>3.3402777777777774E-2</v>
      </c>
      <c r="F7" s="13" t="str">
        <f>INDEX(Table1[Teams Title], MATCH(MIN(Table1[Question B]), Table1[Question B], 0))</f>
        <v>M_Hu7Ain</v>
      </c>
    </row>
    <row r="8" spans="2:6" x14ac:dyDescent="0.3">
      <c r="B8" t="s">
        <v>59</v>
      </c>
      <c r="C8" s="9">
        <f>AVERAGE(Table1[Question C])</f>
        <v>2.3885030864197535E-2</v>
      </c>
      <c r="D8" s="9">
        <f>MIN(Table1[Question C])</f>
        <v>1.6180555555555556E-2</v>
      </c>
      <c r="E8" s="9">
        <f>MAX(Table1[Question C])</f>
        <v>3.0532407407407411E-2</v>
      </c>
      <c r="F8" s="13" t="str">
        <f>INDEX(Table1[Teams Title], MATCH(MIN(Table1[Question C]), Table1[Question C], 0))</f>
        <v>The Invincibles</v>
      </c>
    </row>
    <row r="9" spans="2:6" x14ac:dyDescent="0.3">
      <c r="B9" t="s">
        <v>60</v>
      </c>
      <c r="C9" s="9">
        <f>AVERAGEIF(Table1[Question D], "&lt;&gt; -")</f>
        <v>2.9188368055555559E-2</v>
      </c>
      <c r="D9" s="9">
        <f>MIN(Table1[Question D])</f>
        <v>6.3773148148148148E-3</v>
      </c>
      <c r="E9" s="9">
        <f>MAX(Table1[Question D])</f>
        <v>3.9039351851851853E-2</v>
      </c>
      <c r="F9" s="13" t="str">
        <f>INDEX(Table1[Teams Title], MATCH(MIN(Table1[Question D]), Table1[Question D], 0))</f>
        <v>Team Django</v>
      </c>
    </row>
    <row r="10" spans="2:6" x14ac:dyDescent="0.3">
      <c r="B10" t="s">
        <v>61</v>
      </c>
      <c r="C10" s="9">
        <v>0</v>
      </c>
      <c r="D10" s="9">
        <f>MIN(Table1[Question E])</f>
        <v>0</v>
      </c>
      <c r="E10" s="9">
        <f>MAX(Table1[Question E])</f>
        <v>0</v>
      </c>
      <c r="F10" s="13" t="s">
        <v>67</v>
      </c>
    </row>
    <row r="11" spans="2:6" x14ac:dyDescent="0.3">
      <c r="B11" t="s">
        <v>62</v>
      </c>
      <c r="C11" s="9">
        <v>0</v>
      </c>
      <c r="D11" s="9">
        <f>MIN(Table1[No. of attempted F])</f>
        <v>0</v>
      </c>
      <c r="E11" s="9">
        <v>0</v>
      </c>
      <c r="F11" s="13" t="s">
        <v>67</v>
      </c>
    </row>
    <row r="26" spans="1:4" x14ac:dyDescent="0.3">
      <c r="A26" s="7" t="s">
        <v>55</v>
      </c>
      <c r="B26" t="s">
        <v>84</v>
      </c>
      <c r="C26" t="s">
        <v>85</v>
      </c>
      <c r="D26" t="s">
        <v>86</v>
      </c>
    </row>
    <row r="27" spans="1:4" x14ac:dyDescent="0.3">
      <c r="A27" s="6" t="s">
        <v>57</v>
      </c>
      <c r="B27" s="9">
        <v>1.383101851851852E-2</v>
      </c>
      <c r="C27" s="9">
        <v>1.2418981481481482E-2</v>
      </c>
      <c r="D27" s="9">
        <v>1.5243055555555557E-2</v>
      </c>
    </row>
    <row r="28" spans="1:4" x14ac:dyDescent="0.3">
      <c r="A28" s="6" t="s">
        <v>58</v>
      </c>
      <c r="B28" s="9">
        <v>3.3402777777777774E-2</v>
      </c>
      <c r="C28" s="9">
        <v>3.3402777777777774E-2</v>
      </c>
      <c r="D28" s="9">
        <v>3.3402777777777774E-2</v>
      </c>
    </row>
    <row r="29" spans="1:4" x14ac:dyDescent="0.3">
      <c r="A29" s="6" t="s">
        <v>59</v>
      </c>
      <c r="B29" s="9">
        <v>2.388888888888889E-2</v>
      </c>
      <c r="C29" s="9">
        <v>1.6180555555555556E-2</v>
      </c>
      <c r="D29" s="9">
        <v>3.0532407407407411E-2</v>
      </c>
    </row>
    <row r="30" spans="1:4" x14ac:dyDescent="0.3">
      <c r="A30" s="6" t="s">
        <v>60</v>
      </c>
      <c r="B30" s="9">
        <v>2.9189814814814811E-2</v>
      </c>
      <c r="C30" s="9">
        <v>6.3773148148148148E-3</v>
      </c>
      <c r="D30" s="9">
        <v>3.9039351851851853E-2</v>
      </c>
    </row>
    <row r="31" spans="1:4" x14ac:dyDescent="0.3">
      <c r="A31" s="6" t="s">
        <v>61</v>
      </c>
      <c r="B31" s="9">
        <v>0</v>
      </c>
      <c r="C31" s="9">
        <v>0</v>
      </c>
      <c r="D31" s="9">
        <v>0</v>
      </c>
    </row>
    <row r="32" spans="1:4" x14ac:dyDescent="0.3">
      <c r="A32" s="6" t="s">
        <v>62</v>
      </c>
      <c r="B32" s="9">
        <v>0</v>
      </c>
      <c r="C32" s="9">
        <v>0</v>
      </c>
      <c r="D32" s="9">
        <v>0</v>
      </c>
    </row>
    <row r="33" spans="1:4" x14ac:dyDescent="0.3">
      <c r="A33" s="6" t="s">
        <v>56</v>
      </c>
      <c r="B33" s="9">
        <v>0.1003125</v>
      </c>
      <c r="C33" s="9">
        <v>6.8379629629629624E-2</v>
      </c>
      <c r="D33" s="9">
        <v>0.1182175925925926</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18:M20"/>
  <sheetViews>
    <sheetView tabSelected="1" workbookViewId="0">
      <selection activeCell="M20" sqref="M20"/>
    </sheetView>
  </sheetViews>
  <sheetFormatPr defaultRowHeight="14.4" x14ac:dyDescent="0.3"/>
  <cols>
    <col min="1" max="11" width="8.88671875" style="8"/>
    <col min="12" max="12" width="13.109375" style="8" bestFit="1" customWidth="1"/>
    <col min="13" max="13" width="18.5546875" style="8" bestFit="1" customWidth="1"/>
    <col min="14" max="16384" width="8.88671875" style="8"/>
  </cols>
  <sheetData>
    <row r="18" spans="12:13" ht="15" thickBot="1" x14ac:dyDescent="0.35"/>
    <row r="19" spans="12:13" x14ac:dyDescent="0.3">
      <c r="L19" s="28">
        <v>6</v>
      </c>
      <c r="M19" s="29"/>
    </row>
    <row r="20" spans="12:13" ht="15" thickBot="1" x14ac:dyDescent="0.35">
      <c r="L20" s="15" t="s">
        <v>94</v>
      </c>
      <c r="M20" s="14" t="str">
        <f>IF(L19=1,"Team Django",IF(L19=2,"M_Hu7Ain",IF(L19=3,"The Invinicibles",IF(L19=4,"Team Django",IF(L19=5,"No one Can Solve this",IF(L19=6,"No one can solve this","False value"))))))</f>
        <v>No one can solve this</v>
      </c>
    </row>
  </sheetData>
  <mergeCells count="1">
    <mergeCell ref="L19:M19"/>
  </mergeCells>
  <dataValidations count="1">
    <dataValidation allowBlank="1" showInputMessage="1" showErrorMessage="1" promptTitle="Select Question:" prompt="1_x000a_2_x000a_3_x000a_4_x000a_5_x000a_6_x000a__x000a_" sqref="L19"/>
  </dataValidations>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Round 1</vt:lpstr>
      <vt:lpstr>R1</vt:lpstr>
      <vt:lpstr>R2</vt:lpstr>
      <vt:lpstr>R3</vt:lpstr>
      <vt:lpstr>Round1_Insights</vt:lpstr>
      <vt:lpstr>Round1_Dashboard</vt:lpstr>
      <vt:lpstr>Combine</vt:lpstr>
      <vt:lpstr>Final Round</vt:lpstr>
      <vt:lpstr>f1</vt:lpstr>
      <vt:lpstr>f2</vt:lpstr>
      <vt:lpstr>f3</vt:lpstr>
      <vt:lpstr>Final_Insights</vt:lpstr>
      <vt:lpstr>Final_Dashboard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ASFAR</dc:creator>
  <cp:lastModifiedBy>ASFAR</cp:lastModifiedBy>
  <dcterms:created xsi:type="dcterms:W3CDTF">2025-03-21T21:29:50Z</dcterms:created>
  <dcterms:modified xsi:type="dcterms:W3CDTF">2025-04-29T08:12:54Z</dcterms:modified>
</cp:coreProperties>
</file>